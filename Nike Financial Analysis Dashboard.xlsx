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https://studentujac-my.sharepoint.com/personal/220001245_student_uj_ac_za/Documents/"/>
    </mc:Choice>
  </mc:AlternateContent>
  <xr:revisionPtr revIDLastSave="2526" documentId="8_{6488C2AF-45CA-8A45-A8C9-7561C18DA1F0}" xr6:coauthVersionLast="47" xr6:coauthVersionMax="47" xr10:uidLastSave="{A085ACBF-65B4-3C4E-AF30-FC69C5699A53}"/>
  <bookViews>
    <workbookView xWindow="0" yWindow="0" windowWidth="28800" windowHeight="18000" xr2:uid="{8C6B33B4-5848-9D43-A4E0-C09097BCEDEB}"/>
  </bookViews>
  <sheets>
    <sheet name="Dashboard" sheetId="1" r:id="rId1"/>
    <sheet name="NKE INCOME STATEMENT ANNUAL RAW" sheetId="3" r:id="rId2"/>
    <sheet name="NKE BALANCE SHEET ANNUAL RAW" sheetId="2" r:id="rId3"/>
    <sheet name="NKE CASHFLOW STATEMENTS ANNUAL" sheetId="5" r:id="rId4"/>
    <sheet name="NKE DIVIDENDS" sheetId="9" r:id="rId5"/>
    <sheet name="Insights Pivot" sheetId="30" r:id="rId6"/>
    <sheet name="IS ANALYSIS" sheetId="6" r:id="rId7"/>
    <sheet name="VARIANCE ANALYSIS" sheetId="11" r:id="rId8"/>
    <sheet name="WATERFALL Analysis" sheetId="19" r:id="rId9"/>
    <sheet name="KPIs" sheetId="18" r:id="rId10"/>
    <sheet name="BS ANALYSIS" sheetId="7" r:id="rId11"/>
    <sheet name="CF ANALYSIS" sheetId="8" r:id="rId12"/>
    <sheet name="Forecast Analysis" sheetId="21" r:id="rId13"/>
    <sheet name="DIVIDENDS ANALYSIS" sheetId="10" r:id="rId14"/>
    <sheet name="waterfall helper" sheetId="28" r:id="rId15"/>
    <sheet name="Forecast Pivot" sheetId="25" r:id="rId16"/>
    <sheet name="Waterfall Pivot" sheetId="27" r:id="rId17"/>
    <sheet name="Benchmark Pivots" sheetId="23" r:id="rId18"/>
    <sheet name="Benchmarks" sheetId="12" r:id="rId19"/>
    <sheet name="ADDYY" sheetId="13" r:id="rId20"/>
    <sheet name="Anta" sheetId="14" r:id="rId21"/>
    <sheet name="Lulu" sheetId="15" r:id="rId22"/>
    <sheet name="Benchmarks analysis" sheetId="16" r:id="rId23"/>
    <sheet name="Variance long" sheetId="26" r:id="rId24"/>
    <sheet name="REC COMMENTS RAW" sheetId="29" r:id="rId25"/>
    <sheet name="Ratio Analysis" sheetId="17" r:id="rId26"/>
  </sheets>
  <definedNames>
    <definedName name="_xlchart.v1.0" hidden="1">'waterfall helper'!$A$2:$A$6</definedName>
    <definedName name="_xlchart.v1.1" hidden="1">'waterfall helper'!$B$1</definedName>
    <definedName name="_xlchart.v1.10" hidden="1">'waterfall helper'!$B$1</definedName>
    <definedName name="_xlchart.v1.11" hidden="1">'waterfall helper'!$B$2:$B$6</definedName>
    <definedName name="_xlchart.v1.2" hidden="1">'waterfall helper'!$B$2:$B$6</definedName>
    <definedName name="_xlchart.v1.3" hidden="1">'waterfall helper'!$A$2:$A$6</definedName>
    <definedName name="_xlchart.v1.4" hidden="1">'waterfall helper'!$B$1</definedName>
    <definedName name="_xlchart.v1.5" hidden="1">'waterfall helper'!$B$2:$B$6</definedName>
    <definedName name="_xlchart.v1.6" hidden="1">'waterfall helper'!$A$2:$A$6</definedName>
    <definedName name="_xlchart.v1.7" hidden="1">'waterfall helper'!$B$1</definedName>
    <definedName name="_xlchart.v1.8" hidden="1">'waterfall helper'!$B$2:$B$6</definedName>
    <definedName name="_xlchart.v1.9" hidden="1">'waterfall helper'!$A$2:$A$6</definedName>
    <definedName name="Slicer_Entity">#N/A</definedName>
    <definedName name="Slicer_Perporting_period">#N/A</definedName>
    <definedName name="Slicer_Year">#N/A</definedName>
    <definedName name="Slicer_Year1">#N/A</definedName>
  </definedNames>
  <calcPr calcId="191029"/>
  <pivotCaches>
    <pivotCache cacheId="0" r:id="rId27"/>
    <pivotCache cacheId="2" r:id="rId28"/>
    <pivotCache cacheId="3" r:id="rId29"/>
    <pivotCache cacheId="8" r:id="rId30"/>
    <pivotCache cacheId="13" r:id="rId31"/>
  </pivotCaches>
  <extLs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29" l="1"/>
  <c r="C25" i="29"/>
  <c r="C24" i="29"/>
  <c r="C23" i="29"/>
  <c r="C22" i="29"/>
  <c r="C21" i="29"/>
  <c r="C20" i="29"/>
  <c r="C19" i="29"/>
  <c r="C18" i="29"/>
  <c r="C17" i="29"/>
  <c r="C7" i="29"/>
  <c r="C2" i="29"/>
  <c r="C16" i="29"/>
  <c r="C15" i="29"/>
  <c r="C14" i="29"/>
  <c r="C13" i="29"/>
  <c r="C12" i="29"/>
  <c r="C11" i="29"/>
  <c r="C10" i="29"/>
  <c r="C9" i="29"/>
  <c r="C8" i="29"/>
  <c r="C6" i="29"/>
  <c r="C5" i="29"/>
  <c r="C4" i="29"/>
  <c r="H2" i="17"/>
  <c r="H3" i="17"/>
  <c r="H4" i="17"/>
  <c r="H5" i="17"/>
  <c r="H6" i="17"/>
  <c r="C3" i="29"/>
  <c r="G2" i="17"/>
  <c r="G3" i="17"/>
  <c r="G4" i="17"/>
  <c r="G5" i="17"/>
  <c r="G6" i="17"/>
  <c r="C26" i="26"/>
  <c r="C25" i="26"/>
  <c r="C24" i="26"/>
  <c r="C23" i="26"/>
  <c r="C22" i="26"/>
  <c r="C21" i="26"/>
  <c r="C20" i="26"/>
  <c r="C19" i="26"/>
  <c r="C18" i="26"/>
  <c r="C17" i="26"/>
  <c r="C16" i="26"/>
  <c r="C15" i="26"/>
  <c r="C14" i="26"/>
  <c r="C13" i="26"/>
  <c r="C12" i="26"/>
  <c r="C11" i="26"/>
  <c r="C10" i="26"/>
  <c r="C9" i="26"/>
  <c r="C8" i="26"/>
  <c r="C7" i="26"/>
  <c r="C6" i="26"/>
  <c r="C5" i="26"/>
  <c r="C4" i="26"/>
  <c r="C3" i="26"/>
  <c r="C2" i="26"/>
  <c r="F2" i="19"/>
  <c r="C9" i="21"/>
  <c r="C8" i="21"/>
  <c r="B2" i="12"/>
  <c r="C2" i="12"/>
  <c r="D2" i="12"/>
  <c r="D6" i="12" s="1"/>
  <c r="C23" i="12" s="1"/>
  <c r="E2" i="12"/>
  <c r="F2" i="12"/>
  <c r="F6" i="12" s="1"/>
  <c r="C33" i="12" s="1"/>
  <c r="B3" i="12"/>
  <c r="C3" i="12"/>
  <c r="C15" i="12" s="1"/>
  <c r="D3" i="12"/>
  <c r="C20" i="12" s="1"/>
  <c r="E3" i="12"/>
  <c r="F3" i="12"/>
  <c r="B4" i="12"/>
  <c r="C4" i="12"/>
  <c r="C16" i="12" s="1"/>
  <c r="D4" i="12"/>
  <c r="E4" i="12"/>
  <c r="F4" i="12"/>
  <c r="B5" i="12"/>
  <c r="C5" i="12"/>
  <c r="D5" i="12"/>
  <c r="E5" i="12"/>
  <c r="C27" i="12" s="1"/>
  <c r="F5" i="12"/>
  <c r="B6" i="12"/>
  <c r="C13" i="12" s="1"/>
  <c r="C6" i="12"/>
  <c r="C18" i="12" s="1"/>
  <c r="E6" i="12"/>
  <c r="C28" i="12" s="1"/>
  <c r="C30" i="12"/>
  <c r="C31" i="12"/>
  <c r="C32" i="12"/>
  <c r="C25" i="12"/>
  <c r="C26" i="12"/>
  <c r="C24" i="12"/>
  <c r="C21" i="12"/>
  <c r="C22" i="12"/>
  <c r="C19" i="12"/>
  <c r="C17" i="12"/>
  <c r="C14" i="12"/>
  <c r="C10" i="12"/>
  <c r="C11" i="12"/>
  <c r="C12" i="12"/>
  <c r="B7" i="21"/>
  <c r="B6" i="21"/>
  <c r="B5" i="21"/>
  <c r="B4" i="21"/>
  <c r="B3" i="21"/>
  <c r="B2" i="21"/>
  <c r="F3" i="19"/>
  <c r="F4" i="19"/>
  <c r="F5" i="19"/>
  <c r="F6" i="19"/>
  <c r="E3" i="19"/>
  <c r="E4" i="19"/>
  <c r="E5" i="19"/>
  <c r="E6" i="19"/>
  <c r="E2" i="19"/>
  <c r="D3" i="19"/>
  <c r="D4" i="19"/>
  <c r="D5" i="19"/>
  <c r="D6" i="19"/>
  <c r="D2" i="19"/>
  <c r="C3" i="19"/>
  <c r="C4" i="19"/>
  <c r="C5" i="19"/>
  <c r="C6" i="19"/>
  <c r="A7" i="11"/>
  <c r="B7" i="11"/>
  <c r="C7" i="11"/>
  <c r="D7" i="11"/>
  <c r="E7" i="11"/>
  <c r="F7" i="11"/>
  <c r="G7" i="11"/>
  <c r="H7" i="11"/>
  <c r="I7" i="11"/>
  <c r="J7" i="11"/>
  <c r="K7" i="11"/>
  <c r="L7" i="11"/>
  <c r="M7" i="11"/>
  <c r="N7" i="11"/>
  <c r="B6" i="19" s="1"/>
  <c r="O7" i="11"/>
  <c r="P7" i="11"/>
  <c r="B3" i="19"/>
  <c r="B4" i="19"/>
  <c r="B5" i="19"/>
  <c r="B2" i="19"/>
  <c r="C2" i="19"/>
  <c r="F3" i="17"/>
  <c r="F4" i="17"/>
  <c r="F5" i="17"/>
  <c r="F6" i="17"/>
  <c r="F2" i="17"/>
  <c r="E3" i="17"/>
  <c r="E4" i="17"/>
  <c r="E5" i="17"/>
  <c r="E6" i="17"/>
  <c r="E2" i="17"/>
  <c r="D6" i="17"/>
  <c r="D5" i="17"/>
  <c r="D4" i="17"/>
  <c r="D3" i="17"/>
  <c r="D2" i="17"/>
  <c r="C6" i="17"/>
  <c r="C5" i="17"/>
  <c r="C4" i="17"/>
  <c r="C3" i="17"/>
  <c r="C2" i="17"/>
  <c r="B6" i="17"/>
  <c r="B5" i="17"/>
  <c r="B4" i="17"/>
  <c r="B3" i="17"/>
  <c r="B2" i="17"/>
  <c r="B20" i="16"/>
  <c r="D20" i="16" s="1"/>
  <c r="D17" i="16"/>
  <c r="D18" i="16"/>
  <c r="D19" i="16"/>
  <c r="D16" i="16"/>
  <c r="D2" i="16"/>
  <c r="C20" i="16"/>
  <c r="C19" i="16"/>
  <c r="C18" i="16"/>
  <c r="C17" i="16"/>
  <c r="C16" i="16"/>
  <c r="C13" i="16"/>
  <c r="C12" i="16"/>
  <c r="C11" i="16"/>
  <c r="D11" i="16" s="1"/>
  <c r="C10" i="16"/>
  <c r="D10" i="16" s="1"/>
  <c r="C9" i="16"/>
  <c r="C6" i="16"/>
  <c r="C5" i="16"/>
  <c r="C4" i="16"/>
  <c r="C3" i="16"/>
  <c r="C2" i="16"/>
  <c r="B19" i="16"/>
  <c r="B18" i="16"/>
  <c r="B17" i="16"/>
  <c r="B16" i="16"/>
  <c r="B6" i="16"/>
  <c r="D6" i="16" s="1"/>
  <c r="B5" i="16"/>
  <c r="D5" i="16" s="1"/>
  <c r="B4" i="16"/>
  <c r="D4" i="16" s="1"/>
  <c r="B3" i="16"/>
  <c r="D3" i="16" s="1"/>
  <c r="B2" i="16"/>
  <c r="B13" i="16"/>
  <c r="B12" i="16"/>
  <c r="D12" i="16" s="1"/>
  <c r="B11" i="16"/>
  <c r="B9" i="16"/>
  <c r="D9" i="16" s="1"/>
  <c r="B10" i="16"/>
  <c r="C9" i="12"/>
  <c r="P3" i="11"/>
  <c r="P4" i="11"/>
  <c r="P5" i="11"/>
  <c r="P6" i="11"/>
  <c r="P2" i="11"/>
  <c r="O2" i="11"/>
  <c r="O3" i="11"/>
  <c r="O4" i="11"/>
  <c r="O5" i="11"/>
  <c r="O6" i="11"/>
  <c r="N2" i="11"/>
  <c r="N3" i="11"/>
  <c r="N4" i="11"/>
  <c r="N5" i="11"/>
  <c r="N6" i="11"/>
  <c r="G2" i="11"/>
  <c r="G3" i="11"/>
  <c r="G4" i="11"/>
  <c r="G5" i="11"/>
  <c r="G6" i="11"/>
  <c r="F2" i="11"/>
  <c r="F3" i="11"/>
  <c r="F4" i="11"/>
  <c r="F5" i="11"/>
  <c r="F6" i="11"/>
  <c r="E2" i="11"/>
  <c r="E3" i="11"/>
  <c r="E4" i="11"/>
  <c r="E5" i="11"/>
  <c r="E6" i="11"/>
  <c r="M3" i="11"/>
  <c r="M4" i="11"/>
  <c r="M5" i="11"/>
  <c r="M6" i="11"/>
  <c r="M2" i="11"/>
  <c r="L2" i="11"/>
  <c r="L3" i="11"/>
  <c r="L4" i="11"/>
  <c r="L5" i="11"/>
  <c r="L6" i="11"/>
  <c r="K3" i="11"/>
  <c r="K4" i="11"/>
  <c r="K5" i="11"/>
  <c r="K6" i="11"/>
  <c r="K2" i="11"/>
  <c r="J3" i="11"/>
  <c r="J4" i="11"/>
  <c r="J5" i="11"/>
  <c r="J6" i="11"/>
  <c r="J2" i="11"/>
  <c r="I2" i="11"/>
  <c r="H3" i="11"/>
  <c r="H4" i="11"/>
  <c r="H5" i="11"/>
  <c r="H6" i="11"/>
  <c r="H2" i="11"/>
  <c r="I3" i="11"/>
  <c r="I4" i="11"/>
  <c r="I5" i="11"/>
  <c r="I6" i="11"/>
  <c r="D3" i="11"/>
  <c r="D4" i="11"/>
  <c r="D5" i="11"/>
  <c r="D6" i="11"/>
  <c r="D2" i="11"/>
  <c r="C2" i="11"/>
  <c r="C3" i="11"/>
  <c r="C4" i="11"/>
  <c r="C5" i="11"/>
  <c r="C6" i="11"/>
  <c r="B2" i="11"/>
  <c r="B3" i="11"/>
  <c r="B4" i="11"/>
  <c r="B5" i="11"/>
  <c r="B6" i="11"/>
  <c r="X7" i="6"/>
  <c r="Y7" i="6"/>
  <c r="Z7" i="6"/>
  <c r="AA7" i="6"/>
  <c r="AB7" i="6" s="1"/>
  <c r="AC7" i="6"/>
  <c r="AD7" i="6"/>
  <c r="A3" i="11"/>
  <c r="A4" i="11"/>
  <c r="A5" i="11"/>
  <c r="A6" i="11"/>
  <c r="A2" i="11"/>
  <c r="H2" i="10"/>
  <c r="H3" i="10"/>
  <c r="H4" i="10"/>
  <c r="H5" i="10"/>
  <c r="H6" i="10"/>
  <c r="H7" i="10"/>
  <c r="G4" i="10"/>
  <c r="F3" i="10"/>
  <c r="F4" i="10"/>
  <c r="F5" i="10"/>
  <c r="F6" i="10"/>
  <c r="F7" i="10"/>
  <c r="F2" i="10"/>
  <c r="E3" i="10"/>
  <c r="E4" i="10"/>
  <c r="E5" i="10"/>
  <c r="E6" i="10"/>
  <c r="E7" i="10"/>
  <c r="E2" i="10"/>
  <c r="D3" i="10"/>
  <c r="D4" i="10"/>
  <c r="D5" i="10"/>
  <c r="D6" i="10"/>
  <c r="D7" i="10"/>
  <c r="D2" i="10"/>
  <c r="C2" i="10"/>
  <c r="G2" i="10" s="1"/>
  <c r="C3" i="10"/>
  <c r="G3" i="10" s="1"/>
  <c r="C4" i="10"/>
  <c r="C5" i="10"/>
  <c r="G5" i="10" s="1"/>
  <c r="C6" i="10"/>
  <c r="G6" i="10" s="1"/>
  <c r="C7" i="10"/>
  <c r="G7" i="10" s="1"/>
  <c r="B2" i="10"/>
  <c r="B3" i="10"/>
  <c r="B4" i="10"/>
  <c r="B5" i="10"/>
  <c r="B6" i="10"/>
  <c r="B7" i="10"/>
  <c r="H17" i="9"/>
  <c r="G17" i="9"/>
  <c r="AG2" i="8"/>
  <c r="AG3" i="8"/>
  <c r="AG4" i="8"/>
  <c r="AG5" i="8"/>
  <c r="AG6" i="8"/>
  <c r="AU2" i="7"/>
  <c r="AU3" i="7"/>
  <c r="AU4" i="7"/>
  <c r="AU5" i="7"/>
  <c r="AU6" i="7"/>
  <c r="AU7" i="7"/>
  <c r="AT2" i="7"/>
  <c r="AT3" i="7"/>
  <c r="AT4" i="7"/>
  <c r="AT5" i="7"/>
  <c r="AT6" i="7"/>
  <c r="AT7" i="7"/>
  <c r="AS2" i="7"/>
  <c r="AS3" i="7"/>
  <c r="AS4" i="7"/>
  <c r="AS5" i="7"/>
  <c r="AS6" i="7"/>
  <c r="AS7" i="7"/>
  <c r="AR2" i="7"/>
  <c r="AR3" i="7"/>
  <c r="AR4" i="7"/>
  <c r="AR5" i="7"/>
  <c r="AR6" i="7"/>
  <c r="AR7" i="7"/>
  <c r="AC2" i="6"/>
  <c r="AD2" i="6" s="1"/>
  <c r="AC3" i="6"/>
  <c r="AD3" i="6" s="1"/>
  <c r="AC4" i="6"/>
  <c r="AD4" i="6" s="1"/>
  <c r="AC5" i="6"/>
  <c r="AD5" i="6" s="1"/>
  <c r="AC6" i="6"/>
  <c r="AD6" i="6" s="1"/>
  <c r="AA3" i="6"/>
  <c r="AB3" i="6" s="1"/>
  <c r="AA4" i="6"/>
  <c r="AB4" i="6" s="1"/>
  <c r="AA5" i="6"/>
  <c r="AB5" i="6" s="1"/>
  <c r="AA6" i="6"/>
  <c r="AB6" i="6" s="1"/>
  <c r="AA2" i="6"/>
  <c r="AB2" i="6" s="1"/>
  <c r="Z2" i="6"/>
  <c r="Z3" i="6"/>
  <c r="Z4" i="6"/>
  <c r="Z5" i="6"/>
  <c r="Z6" i="6"/>
  <c r="Y2" i="6"/>
  <c r="Y3" i="6"/>
  <c r="Y4" i="6"/>
  <c r="Y5" i="6"/>
  <c r="Y6" i="6"/>
  <c r="X2" i="6"/>
  <c r="X3" i="6"/>
  <c r="X4" i="6"/>
  <c r="X5" i="6"/>
  <c r="X6" i="6"/>
  <c r="D51" i="3"/>
  <c r="E51" i="3"/>
  <c r="F51" i="3"/>
  <c r="G51" i="3"/>
  <c r="C51" i="3"/>
  <c r="C8" i="18"/>
  <c r="D8" i="18"/>
  <c r="A8" i="18"/>
  <c r="B8" i="18"/>
  <c r="F8" i="18"/>
  <c r="G15" i="29"/>
  <c r="G14" i="29"/>
  <c r="G13" i="29"/>
  <c r="G12" i="29"/>
  <c r="G11" i="29"/>
  <c r="B6" i="28"/>
  <c r="B5" i="28"/>
  <c r="B4" i="28"/>
  <c r="B3" i="28"/>
  <c r="B2" i="28"/>
  <c r="F17" i="29" l="1"/>
  <c r="F18" i="29"/>
  <c r="F20" i="29"/>
  <c r="F19" i="29"/>
  <c r="F21" i="29"/>
  <c r="C29" i="12"/>
  <c r="D13" i="16"/>
</calcChain>
</file>

<file path=xl/sharedStrings.xml><?xml version="1.0" encoding="utf-8"?>
<sst xmlns="http://schemas.openxmlformats.org/spreadsheetml/2006/main" count="1746" uniqueCount="944">
  <si>
    <t>Period Ending:</t>
  </si>
  <si>
    <t xml:space="preserve">2025
  05-31 </t>
  </si>
  <si>
    <t xml:space="preserve">2024
  05-31 </t>
  </si>
  <si>
    <t xml:space="preserve">2023
  05-31 </t>
  </si>
  <si>
    <t xml:space="preserve">2022
  05-31 </t>
  </si>
  <si>
    <t xml:space="preserve">2021
  05-31 </t>
  </si>
  <si>
    <t xml:space="preserve">2020
  05-31 </t>
  </si>
  <si>
    <t>Report Filing:</t>
  </si>
  <si>
    <t xml:space="preserve"> 2025-07-17 </t>
  </si>
  <si>
    <t xml:space="preserve"> 2024-07-25 </t>
  </si>
  <si>
    <t xml:space="preserve"> 2023-07-20 </t>
  </si>
  <si>
    <t xml:space="preserve"> 2022-07-21 </t>
  </si>
  <si>
    <t xml:space="preserve"> 2021-07-20 </t>
  </si>
  <si>
    <t xml:space="preserve"> 2020-07-24 </t>
  </si>
  <si>
    <t>Total Current Assets</t>
  </si>
  <si>
    <t>23,362</t>
  </si>
  <si>
    <t>25,382</t>
  </si>
  <si>
    <t>25,202</t>
  </si>
  <si>
    <t>28,213</t>
  </si>
  <si>
    <t>26,291</t>
  </si>
  <si>
    <t>20,556</t>
  </si>
  <si>
    <t>Cash and Short Term Investments</t>
  </si>
  <si>
    <t>9,151</t>
  </si>
  <si>
    <t>11,582</t>
  </si>
  <si>
    <t>10,675</t>
  </si>
  <si>
    <t>12,997</t>
  </si>
  <si>
    <t>13,476</t>
  </si>
  <si>
    <t>8,787</t>
  </si>
  <si>
    <t>108.6</t>
  </si>
  <si>
    <t>Cash &amp; Equivalents</t>
  </si>
  <si>
    <t>7,464</t>
  </si>
  <si>
    <t>9,860</t>
  </si>
  <si>
    <t>7,441</t>
  </si>
  <si>
    <t>8,574</t>
  </si>
  <si>
    <t>9,889</t>
  </si>
  <si>
    <t>8,348</t>
  </si>
  <si>
    <t>Short Term Investments</t>
  </si>
  <si>
    <t>1,687</t>
  </si>
  <si>
    <t>1,722</t>
  </si>
  <si>
    <t>3,234</t>
  </si>
  <si>
    <t>4,423</t>
  </si>
  <si>
    <t>3,587</t>
  </si>
  <si>
    <t>439</t>
  </si>
  <si>
    <t>0</t>
  </si>
  <si>
    <t>Receivables</t>
  </si>
  <si>
    <t>4,717</t>
  </si>
  <si>
    <t>4,427</t>
  </si>
  <si>
    <t>4,131</t>
  </si>
  <si>
    <t>4,667</t>
  </si>
  <si>
    <t>4,463</t>
  </si>
  <si>
    <t>2,749</t>
  </si>
  <si>
    <t>3,358</t>
  </si>
  <si>
    <t>Inventory</t>
  </si>
  <si>
    <t>7,489</t>
  </si>
  <si>
    <t>7,519</t>
  </si>
  <si>
    <t>8,454</t>
  </si>
  <si>
    <t>8,420</t>
  </si>
  <si>
    <t>6,854</t>
  </si>
  <si>
    <t>7,367</t>
  </si>
  <si>
    <t>Other Current Assets</t>
  </si>
  <si>
    <t>2,005</t>
  </si>
  <si>
    <t>1,854</t>
  </si>
  <si>
    <t>1,942</t>
  </si>
  <si>
    <t>2,129</t>
  </si>
  <si>
    <t>1,498</t>
  </si>
  <si>
    <t>1,653</t>
  </si>
  <si>
    <t>353</t>
  </si>
  <si>
    <t>Total Assets</t>
  </si>
  <si>
    <t>36,579</t>
  </si>
  <si>
    <t>38,110</t>
  </si>
  <si>
    <t>37,531</t>
  </si>
  <si>
    <t>40,321</t>
  </si>
  <si>
    <t>37,740</t>
  </si>
  <si>
    <t>31,342</t>
  </si>
  <si>
    <t>Total Non-Current Assets</t>
  </si>
  <si>
    <t>13,217</t>
  </si>
  <si>
    <t>12,728</t>
  </si>
  <si>
    <t>12,329</t>
  </si>
  <si>
    <t>12,108</t>
  </si>
  <si>
    <t>11,449</t>
  </si>
  <si>
    <t>10,786</t>
  </si>
  <si>
    <t>1,530</t>
  </si>
  <si>
    <t>Property, Plant and Equipment</t>
  </si>
  <si>
    <t>7,540</t>
  </si>
  <si>
    <t>7,718</t>
  </si>
  <si>
    <t>8,004</t>
  </si>
  <si>
    <t>7,717</t>
  </si>
  <si>
    <t>8,017</t>
  </si>
  <si>
    <t>7,963</t>
  </si>
  <si>
    <t>Goodwill and Intangible Assets</t>
  </si>
  <si>
    <t>499</t>
  </si>
  <si>
    <t>555</t>
  </si>
  <si>
    <t>570</t>
  </si>
  <si>
    <t>511</t>
  </si>
  <si>
    <t>497</t>
  </si>
  <si>
    <t>Goodwill</t>
  </si>
  <si>
    <t>240</t>
  </si>
  <si>
    <t>281</t>
  </si>
  <si>
    <t>284</t>
  </si>
  <si>
    <t>242</t>
  </si>
  <si>
    <t>223</t>
  </si>
  <si>
    <t>Intangible Assets</t>
  </si>
  <si>
    <t>259</t>
  </si>
  <si>
    <t>274</t>
  </si>
  <si>
    <t>286</t>
  </si>
  <si>
    <t>269</t>
  </si>
  <si>
    <t>283</t>
  </si>
  <si>
    <t>289</t>
  </si>
  <si>
    <t>Long Term Investments</t>
  </si>
  <si>
    <t>Deferred Tax Assets</t>
  </si>
  <si>
    <t>3,821</t>
  </si>
  <si>
    <t>2,921</t>
  </si>
  <si>
    <t>2,326</t>
  </si>
  <si>
    <t>894</t>
  </si>
  <si>
    <t>Other Long Term Assets</t>
  </si>
  <si>
    <t>5,178</t>
  </si>
  <si>
    <t>4,511</t>
  </si>
  <si>
    <t>3,770</t>
  </si>
  <si>
    <t>14</t>
  </si>
  <si>
    <t>Total Current Liabilities</t>
  </si>
  <si>
    <t>10,566</t>
  </si>
  <si>
    <t>10,593</t>
  </si>
  <si>
    <t>9,256</t>
  </si>
  <si>
    <t>10,730</t>
  </si>
  <si>
    <t>9,674</t>
  </si>
  <si>
    <t>8,284</t>
  </si>
  <si>
    <t>Accounts Payable</t>
  </si>
  <si>
    <t>3,479</t>
  </si>
  <si>
    <t>2,851</t>
  </si>
  <si>
    <t>2,862</t>
  </si>
  <si>
    <t>2,836</t>
  </si>
  <si>
    <t>2,248</t>
  </si>
  <si>
    <t>Notes Payable/Short Term Debt</t>
  </si>
  <si>
    <t>507</t>
  </si>
  <si>
    <t>1,483</t>
  </si>
  <si>
    <t>431</t>
  </si>
  <si>
    <t>930</t>
  </si>
  <si>
    <t>469</t>
  </si>
  <si>
    <t>696</t>
  </si>
  <si>
    <t>15</t>
  </si>
  <si>
    <t>45</t>
  </si>
  <si>
    <t>174</t>
  </si>
  <si>
    <t>Tax Payables</t>
  </si>
  <si>
    <t>669</t>
  </si>
  <si>
    <t>534</t>
  </si>
  <si>
    <t>222</t>
  </si>
  <si>
    <t>306</t>
  </si>
  <si>
    <t>156</t>
  </si>
  <si>
    <t>117</t>
  </si>
  <si>
    <t>Deferred Revenue</t>
  </si>
  <si>
    <t>Other Current Liabilities</t>
  </si>
  <si>
    <t>5,911</t>
  </si>
  <si>
    <t>5,725</t>
  </si>
  <si>
    <t>5,723</t>
  </si>
  <si>
    <t>6,220</t>
  </si>
  <si>
    <t>6,063</t>
  </si>
  <si>
    <t>5,184</t>
  </si>
  <si>
    <t>Total Liabilities</t>
  </si>
  <si>
    <t>23,366</t>
  </si>
  <si>
    <t>23,680</t>
  </si>
  <si>
    <t>23,527</t>
  </si>
  <si>
    <t>25,040</t>
  </si>
  <si>
    <t>24,973</t>
  </si>
  <si>
    <t>23,287</t>
  </si>
  <si>
    <t>Total Non-Current Liabilities</t>
  </si>
  <si>
    <t>12,800</t>
  </si>
  <si>
    <t>13,087</t>
  </si>
  <si>
    <t>14,271</t>
  </si>
  <si>
    <t>14,310</t>
  </si>
  <si>
    <t>15,299</t>
  </si>
  <si>
    <t>15,003</t>
  </si>
  <si>
    <t>Total Long Term Debt</t>
  </si>
  <si>
    <t>10,511</t>
  </si>
  <si>
    <t>10,469</t>
  </si>
  <si>
    <t>11,713</t>
  </si>
  <si>
    <t>11,697</t>
  </si>
  <si>
    <t>12,344</t>
  </si>
  <si>
    <t>12,319</t>
  </si>
  <si>
    <t>296</t>
  </si>
  <si>
    <t>Deferred Tax Liabilities Non-Current</t>
  </si>
  <si>
    <t>2,613</t>
  </si>
  <si>
    <t>2,955</t>
  </si>
  <si>
    <t>2,684</t>
  </si>
  <si>
    <t>Deferred Revenue Non-Current</t>
  </si>
  <si>
    <t>Capital Lease Obligations</t>
  </si>
  <si>
    <t>3,052</t>
  </si>
  <si>
    <t>3,043</t>
  </si>
  <si>
    <t>3,211</t>
  </si>
  <si>
    <t>3,197</t>
  </si>
  <si>
    <t>3,398</t>
  </si>
  <si>
    <t>Other Long Term Liabilities</t>
  </si>
  <si>
    <t>-763</t>
  </si>
  <si>
    <t>-425</t>
  </si>
  <si>
    <t>-653</t>
  </si>
  <si>
    <t>-3,197</t>
  </si>
  <si>
    <t>-3,398</t>
  </si>
  <si>
    <t>-3,358</t>
  </si>
  <si>
    <t>Total Equity</t>
  </si>
  <si>
    <t>13,213</t>
  </si>
  <si>
    <t>14,430</t>
  </si>
  <si>
    <t>14,004</t>
  </si>
  <si>
    <t>15,281</t>
  </si>
  <si>
    <t>12,767</t>
  </si>
  <si>
    <t>8,055</t>
  </si>
  <si>
    <t>Non-Controlling Interest</t>
  </si>
  <si>
    <t>Total Stockholders' Equity</t>
  </si>
  <si>
    <t>Retained Earnings</t>
  </si>
  <si>
    <t>-727</t>
  </si>
  <si>
    <t>965</t>
  </si>
  <si>
    <t>1,358</t>
  </si>
  <si>
    <t>3,476</t>
  </si>
  <si>
    <t>3,179</t>
  </si>
  <si>
    <t>-191</t>
  </si>
  <si>
    <t>2,887</t>
  </si>
  <si>
    <t>Accumulated Other Earnings</t>
  </si>
  <si>
    <t>-258</t>
  </si>
  <si>
    <t>53</t>
  </si>
  <si>
    <t>231</t>
  </si>
  <si>
    <t>318</t>
  </si>
  <si>
    <t>-380</t>
  </si>
  <si>
    <t>-56</t>
  </si>
  <si>
    <t>-213</t>
  </si>
  <si>
    <t>62</t>
  </si>
  <si>
    <t>Common Stock</t>
  </si>
  <si>
    <t>3</t>
  </si>
  <si>
    <t>Preferred Stock</t>
  </si>
  <si>
    <t>Additional Paid in Capital</t>
  </si>
  <si>
    <t>14,195</t>
  </si>
  <si>
    <t>13,409</t>
  </si>
  <si>
    <t>12,412</t>
  </si>
  <si>
    <t>11,484</t>
  </si>
  <si>
    <t>9,965</t>
  </si>
  <si>
    <t>8,299</t>
  </si>
  <si>
    <t>Total Liabilities &amp; Total Equity</t>
  </si>
  <si>
    <t>Total Liabilities &amp; Shareholders' Equity</t>
  </si>
  <si>
    <t>Total Investments</t>
  </si>
  <si>
    <t>Total Debt</t>
  </si>
  <si>
    <t>11,018</t>
  </si>
  <si>
    <t>11,952</t>
  </si>
  <si>
    <t>12,144</t>
  </si>
  <si>
    <t>12,627</t>
  </si>
  <si>
    <t>12,813</t>
  </si>
  <si>
    <t>13,015</t>
  </si>
  <si>
    <t>1,365</t>
  </si>
  <si>
    <t>Net Debt</t>
  </si>
  <si>
    <t>3,554</t>
  </si>
  <si>
    <t>2,092</t>
  </si>
  <si>
    <t>4,703</t>
  </si>
  <si>
    <t>4,053</t>
  </si>
  <si>
    <t>2,924</t>
  </si>
  <si>
    <t>Reporting Period Ending</t>
  </si>
  <si>
    <t xml:space="preserve">LTM 
  (Last Twelve Months) </t>
  </si>
  <si>
    <t>Report Filing</t>
  </si>
  <si>
    <t xml:space="preserve"> 2025-12-30 </t>
  </si>
  <si>
    <t>Revenue</t>
  </si>
  <si>
    <t>46,513</t>
  </si>
  <si>
    <t>46,309</t>
  </si>
  <si>
    <t>51,362</t>
  </si>
  <si>
    <t>51,217</t>
  </si>
  <si>
    <t>46,710</t>
  </si>
  <si>
    <t>44,538</t>
  </si>
  <si>
    <t>37,403</t>
  </si>
  <si>
    <t>Cost of Revenue</t>
  </si>
  <si>
    <t>27,381</t>
  </si>
  <si>
    <t>26,519</t>
  </si>
  <si>
    <t>28,475</t>
  </si>
  <si>
    <t>28,925</t>
  </si>
  <si>
    <t>25,231</t>
  </si>
  <si>
    <t>24,576</t>
  </si>
  <si>
    <t>21,162</t>
  </si>
  <si>
    <t>Gross Profit</t>
  </si>
  <si>
    <t>19,132</t>
  </si>
  <si>
    <t>19,790</t>
  </si>
  <si>
    <t>22,887</t>
  </si>
  <si>
    <t>22,292</t>
  </si>
  <si>
    <t>21,479</t>
  </si>
  <si>
    <t>19,962</t>
  </si>
  <si>
    <t>16,241</t>
  </si>
  <si>
    <t xml:space="preserve"> Operating Expenses </t>
  </si>
  <si>
    <t>16,090</t>
  </si>
  <si>
    <t>16,088</t>
  </si>
  <si>
    <t>16,576</t>
  </si>
  <si>
    <t>16,377</t>
  </si>
  <si>
    <t>14,804</t>
  </si>
  <si>
    <t>13,025</t>
  </si>
  <si>
    <t>13,126</t>
  </si>
  <si>
    <t>3,702</t>
  </si>
  <si>
    <t>Research &amp; Development</t>
  </si>
  <si>
    <t>Selling, General and Administrative</t>
  </si>
  <si>
    <t>Other Operating Expenses</t>
  </si>
  <si>
    <t>Operating Income</t>
  </si>
  <si>
    <t>3,042</t>
  </si>
  <si>
    <t>6,311</t>
  </si>
  <si>
    <t>5,915</t>
  </si>
  <si>
    <t>6,675</t>
  </si>
  <si>
    <t>6,937</t>
  </si>
  <si>
    <t>3,115</t>
  </si>
  <si>
    <t>Net Non-Operating Interest</t>
  </si>
  <si>
    <t>57</t>
  </si>
  <si>
    <t>115</t>
  </si>
  <si>
    <t>169</t>
  </si>
  <si>
    <t>-198</t>
  </si>
  <si>
    <t>-255</t>
  </si>
  <si>
    <t>-82</t>
  </si>
  <si>
    <t>-21</t>
  </si>
  <si>
    <t>8</t>
  </si>
  <si>
    <t>Interest Income</t>
  </si>
  <si>
    <t>404</t>
  </si>
  <si>
    <t>430</t>
  </si>
  <si>
    <t>297</t>
  </si>
  <si>
    <t>94</t>
  </si>
  <si>
    <t>34</t>
  </si>
  <si>
    <t>70</t>
  </si>
  <si>
    <t>Interest Expense</t>
  </si>
  <si>
    <t>261</t>
  </si>
  <si>
    <t>292</t>
  </si>
  <si>
    <t>144</t>
  </si>
  <si>
    <t>Equity &amp; Other Income/(Expense)</t>
  </si>
  <si>
    <t>-16</t>
  </si>
  <si>
    <t>68</t>
  </si>
  <si>
    <t>220</t>
  </si>
  <si>
    <t>272</t>
  </si>
  <si>
    <t>-146</t>
  </si>
  <si>
    <t>Income Before Tax</t>
  </si>
  <si>
    <t>3,083</t>
  </si>
  <si>
    <t>3,885</t>
  </si>
  <si>
    <t>6,700</t>
  </si>
  <si>
    <t>6,201</t>
  </si>
  <si>
    <t>6,651</t>
  </si>
  <si>
    <t>6,661</t>
  </si>
  <si>
    <t>Income Tax Expense</t>
  </si>
  <si>
    <t>559</t>
  </si>
  <si>
    <t>666</t>
  </si>
  <si>
    <t>1,000</t>
  </si>
  <si>
    <t>1,131</t>
  </si>
  <si>
    <t>605</t>
  </si>
  <si>
    <t>934</t>
  </si>
  <si>
    <t>348</t>
  </si>
  <si>
    <t>Income Attributable to Non-Controlling Interest</t>
  </si>
  <si>
    <t>Net Income</t>
  </si>
  <si>
    <t>2,524</t>
  </si>
  <si>
    <t>3,219</t>
  </si>
  <si>
    <t>5,700</t>
  </si>
  <si>
    <t>5,070</t>
  </si>
  <si>
    <t>6,046</t>
  </si>
  <si>
    <t>5,727</t>
  </si>
  <si>
    <t>2,539</t>
  </si>
  <si>
    <t>Depreciation and Amortization</t>
  </si>
  <si>
    <t>629</t>
  </si>
  <si>
    <t>808</t>
  </si>
  <si>
    <t>844</t>
  </si>
  <si>
    <t>859</t>
  </si>
  <si>
    <t>840</t>
  </si>
  <si>
    <t>797</t>
  </si>
  <si>
    <t>1,119</t>
  </si>
  <si>
    <t>716</t>
  </si>
  <si>
    <t>EBITDA</t>
  </si>
  <si>
    <t>3,671</t>
  </si>
  <si>
    <t>4,510</t>
  </si>
  <si>
    <t>7,155</t>
  </si>
  <si>
    <t>6,774</t>
  </si>
  <si>
    <t>7,515</t>
  </si>
  <si>
    <t>7,734</t>
  </si>
  <si>
    <t>4,234</t>
  </si>
  <si>
    <t>Earnings Per Share (EPS)</t>
  </si>
  <si>
    <t>1.71</t>
  </si>
  <si>
    <t>2.17</t>
  </si>
  <si>
    <t>3.76</t>
  </si>
  <si>
    <t>3.27</t>
  </si>
  <si>
    <t>3.83</t>
  </si>
  <si>
    <t>3.64</t>
  </si>
  <si>
    <t>1.63</t>
  </si>
  <si>
    <t>Diluted Earnings Per Share</t>
  </si>
  <si>
    <t>2.16</t>
  </si>
  <si>
    <t>3.73</t>
  </si>
  <si>
    <t>3.23</t>
  </si>
  <si>
    <t>3.75</t>
  </si>
  <si>
    <t>3.56</t>
  </si>
  <si>
    <t>1.6</t>
  </si>
  <si>
    <t>Weighted Average Shares Outstanding</t>
  </si>
  <si>
    <t>1,478</t>
  </si>
  <si>
    <t>1,485</t>
  </si>
  <si>
    <t>1,518</t>
  </si>
  <si>
    <t>1,552</t>
  </si>
  <si>
    <t>1,579</t>
  </si>
  <si>
    <t>1,573</t>
  </si>
  <si>
    <t>1,559</t>
  </si>
  <si>
    <t>Diluted Weighted Average Shares Outstanding</t>
  </si>
  <si>
    <t>1,480</t>
  </si>
  <si>
    <t>1,488</t>
  </si>
  <si>
    <t>1,570</t>
  </si>
  <si>
    <t>1,611</t>
  </si>
  <si>
    <t>1,609</t>
  </si>
  <si>
    <t>1,592</t>
  </si>
  <si>
    <t>Net Income/Starting Line</t>
  </si>
  <si>
    <t>Cash From Operating Activities</t>
  </si>
  <si>
    <t>3,056</t>
  </si>
  <si>
    <t>3,698</t>
  </si>
  <si>
    <t>7,429</t>
  </si>
  <si>
    <t>5,841</t>
  </si>
  <si>
    <t>5,188</t>
  </si>
  <si>
    <t>6,657</t>
  </si>
  <si>
    <t>775</t>
  </si>
  <si>
    <t>Deferred Income Tax</t>
  </si>
  <si>
    <t>-168</t>
  </si>
  <si>
    <t>-288</t>
  </si>
  <si>
    <t>-497</t>
  </si>
  <si>
    <t>-117</t>
  </si>
  <si>
    <t>-650</t>
  </si>
  <si>
    <t>-385</t>
  </si>
  <si>
    <t>-26</t>
  </si>
  <si>
    <t>Stock Based Compensation</t>
  </si>
  <si>
    <t>695</t>
  </si>
  <si>
    <t>709</t>
  </si>
  <si>
    <t>804</t>
  </si>
  <si>
    <t>755</t>
  </si>
  <si>
    <t>638</t>
  </si>
  <si>
    <t>611</t>
  </si>
  <si>
    <t>Other Non-Cash Items</t>
  </si>
  <si>
    <t>-1,364</t>
  </si>
  <si>
    <t>-138</t>
  </si>
  <si>
    <t>Changes in Working Capital</t>
  </si>
  <si>
    <t>594</t>
  </si>
  <si>
    <t>-787</t>
  </si>
  <si>
    <t>-513</t>
  </si>
  <si>
    <t>-1,660</t>
  </si>
  <si>
    <t>Accounts Receivable</t>
  </si>
  <si>
    <t>-335</t>
  </si>
  <si>
    <t>-257</t>
  </si>
  <si>
    <t>-329</t>
  </si>
  <si>
    <t>489</t>
  </si>
  <si>
    <t>-504</t>
  </si>
  <si>
    <t>-1,606</t>
  </si>
  <si>
    <t>-426</t>
  </si>
  <si>
    <t>410</t>
  </si>
  <si>
    <t>120</t>
  </si>
  <si>
    <t>908</t>
  </si>
  <si>
    <t>-133</t>
  </si>
  <si>
    <t>-1,676</t>
  </si>
  <si>
    <t>-275</t>
  </si>
  <si>
    <t>-671</t>
  </si>
  <si>
    <t>397</t>
  </si>
  <si>
    <t>-225</t>
  </si>
  <si>
    <t>1,326</t>
  </si>
  <si>
    <t>-364</t>
  </si>
  <si>
    <t>-224</t>
  </si>
  <si>
    <t>-260</t>
  </si>
  <si>
    <t>-644</t>
  </si>
  <si>
    <t>-845</t>
  </si>
  <si>
    <t>-182</t>
  </si>
  <si>
    <t>Other Working Capital</t>
  </si>
  <si>
    <t>1,554</t>
  </si>
  <si>
    <t>Cash From Investing Activities</t>
  </si>
  <si>
    <t>-143</t>
  </si>
  <si>
    <t>564</t>
  </si>
  <si>
    <t>-1,524</t>
  </si>
  <si>
    <t>-3,800</t>
  </si>
  <si>
    <t>Investments in Property Plant and Equipment</t>
  </si>
  <si>
    <t>-581</t>
  </si>
  <si>
    <t>-430</t>
  </si>
  <si>
    <t>-812</t>
  </si>
  <si>
    <t>-969</t>
  </si>
  <si>
    <t>-758</t>
  </si>
  <si>
    <t>-695</t>
  </si>
  <si>
    <t>Payments for Acquisitions</t>
  </si>
  <si>
    <t>1</t>
  </si>
  <si>
    <t>Purchases of Securities</t>
  </si>
  <si>
    <t>-1,786</t>
  </si>
  <si>
    <t>-3,234</t>
  </si>
  <si>
    <t>-4,767</t>
  </si>
  <si>
    <t>-6,059</t>
  </si>
  <si>
    <t>-12,913</t>
  </si>
  <si>
    <t>-9,961</t>
  </si>
  <si>
    <t>Sales and Maturities of Investments</t>
  </si>
  <si>
    <t>2,229</t>
  </si>
  <si>
    <t>3,381</t>
  </si>
  <si>
    <t>6,488</t>
  </si>
  <si>
    <t>12,166</t>
  </si>
  <si>
    <t>6,685</t>
  </si>
  <si>
    <t>Other Investing Activities</t>
  </si>
  <si>
    <t>-5</t>
  </si>
  <si>
    <t>-15</t>
  </si>
  <si>
    <t>52</t>
  </si>
  <si>
    <t>-19</t>
  </si>
  <si>
    <t>171</t>
  </si>
  <si>
    <t>Cash From Financing Activities</t>
  </si>
  <si>
    <t>-3,927</t>
  </si>
  <si>
    <t>-5,820</t>
  </si>
  <si>
    <t>-5,888</t>
  </si>
  <si>
    <t>-7,447</t>
  </si>
  <si>
    <t>-4,836</t>
  </si>
  <si>
    <t>-1,459</t>
  </si>
  <si>
    <t>Debt Repayment</t>
  </si>
  <si>
    <t>-1,045</t>
  </si>
  <si>
    <t>-1,001</t>
  </si>
  <si>
    <t>-249</t>
  </si>
  <si>
    <t>Common Stock Issued</t>
  </si>
  <si>
    <t>551</t>
  </si>
  <si>
    <t>Common Stock Repurchased</t>
  </si>
  <si>
    <t>-851</t>
  </si>
  <si>
    <t>-2,985</t>
  </si>
  <si>
    <t>-4,250</t>
  </si>
  <si>
    <t>-5,480</t>
  </si>
  <si>
    <t>-4,014</t>
  </si>
  <si>
    <t>-608</t>
  </si>
  <si>
    <t>Dividends Paid</t>
  </si>
  <si>
    <t>-2,374</t>
  </si>
  <si>
    <t>-2,300</t>
  </si>
  <si>
    <t>-2,169</t>
  </si>
  <si>
    <t>-2,012</t>
  </si>
  <si>
    <t>-1,837</t>
  </si>
  <si>
    <t>-1,638</t>
  </si>
  <si>
    <t>-1,133</t>
  </si>
  <si>
    <t>Other Financing Activities</t>
  </si>
  <si>
    <t>-355</t>
  </si>
  <si>
    <t>-85</t>
  </si>
  <si>
    <t>531</t>
  </si>
  <si>
    <t>549</t>
  </si>
  <si>
    <t>1,036</t>
  </si>
  <si>
    <t>Effect of Forex Changes on Cash</t>
  </si>
  <si>
    <t>9</t>
  </si>
  <si>
    <t>-91</t>
  </si>
  <si>
    <t>143</t>
  </si>
  <si>
    <t>Net Change in Cash</t>
  </si>
  <si>
    <t>-1,627</t>
  </si>
  <si>
    <t>-2,396</t>
  </si>
  <si>
    <t>2,419</t>
  </si>
  <si>
    <t>-1,315</t>
  </si>
  <si>
    <t>1,541</t>
  </si>
  <si>
    <t>Cash at Beginning of Period</t>
  </si>
  <si>
    <t>8,601</t>
  </si>
  <si>
    <t>Cash at End of Period</t>
  </si>
  <si>
    <t>6,974</t>
  </si>
  <si>
    <t>Free Cash Flow</t>
  </si>
  <si>
    <t>2,475</t>
  </si>
  <si>
    <t>3,268</t>
  </si>
  <si>
    <t>6,617</t>
  </si>
  <si>
    <t>4,872</t>
  </si>
  <si>
    <t>4,430</t>
  </si>
  <si>
    <t>5,962</t>
  </si>
  <si>
    <t>Operating Cash Flow</t>
  </si>
  <si>
    <t>Capital Expenditure</t>
  </si>
  <si>
    <t>Reporting Period Ending 31 May:</t>
  </si>
  <si>
    <t>Reporting Period Ending: 31 May</t>
  </si>
  <si>
    <t>gross margin</t>
  </si>
  <si>
    <t>Gross Margin</t>
  </si>
  <si>
    <t>Operating Margin</t>
  </si>
  <si>
    <t>Net Profit Margin</t>
  </si>
  <si>
    <t>Average Total assets</t>
  </si>
  <si>
    <t>ROA</t>
  </si>
  <si>
    <t>Average equity</t>
  </si>
  <si>
    <t>ROE</t>
  </si>
  <si>
    <t>Current ratio</t>
  </si>
  <si>
    <t>Working Capital</t>
  </si>
  <si>
    <t>Debt-to-Equity</t>
  </si>
  <si>
    <t>Debit Ratio</t>
  </si>
  <si>
    <t>Cash flow Quality</t>
  </si>
  <si>
    <t>LTM</t>
  </si>
  <si>
    <t>2025</t>
  </si>
  <si>
    <t>2024</t>
  </si>
  <si>
    <t>2023</t>
  </si>
  <si>
    <t>2022</t>
  </si>
  <si>
    <t>2021</t>
  </si>
  <si>
    <t>2020</t>
  </si>
  <si>
    <t xml:space="preserve"> Dividend per Share </t>
  </si>
  <si>
    <t>1.61</t>
  </si>
  <si>
    <t>1.51</t>
  </si>
  <si>
    <t>1.39</t>
  </si>
  <si>
    <t>1.25</t>
  </si>
  <si>
    <t>1.13</t>
  </si>
  <si>
    <t>1.01</t>
  </si>
  <si>
    <t>Reference Market Share Price</t>
  </si>
  <si>
    <t>64.41</t>
  </si>
  <si>
    <t>63.71</t>
  </si>
  <si>
    <t>75.67</t>
  </si>
  <si>
    <t>166.7</t>
  </si>
  <si>
    <t>141.5</t>
  </si>
  <si>
    <t>Dividend Yield</t>
  </si>
  <si>
    <t>2.5%</t>
  </si>
  <si>
    <t>2.53%</t>
  </si>
  <si>
    <t>2%</t>
  </si>
  <si>
    <t>1.28%</t>
  </si>
  <si>
    <t>1.07%</t>
  </si>
  <si>
    <t>0.678%</t>
  </si>
  <si>
    <t>0.714%</t>
  </si>
  <si>
    <t>Earnings Per Share</t>
  </si>
  <si>
    <t>Payout Ratio</t>
  </si>
  <si>
    <t>94.15%</t>
  </si>
  <si>
    <t>74.19%</t>
  </si>
  <si>
    <t>40.16%</t>
  </si>
  <si>
    <t>42.51%</t>
  </si>
  <si>
    <t>32.64%</t>
  </si>
  <si>
    <t>31.04%</t>
  </si>
  <si>
    <t>61.96%</t>
  </si>
  <si>
    <t>Helper column</t>
  </si>
  <si>
    <t>Price to earning</t>
  </si>
  <si>
    <t>Price-to-Book</t>
  </si>
  <si>
    <t>YoY ▲</t>
  </si>
  <si>
    <t>YoY %</t>
  </si>
  <si>
    <t>YoY ▲2</t>
  </si>
  <si>
    <t>YoY %3</t>
  </si>
  <si>
    <t>YoY ▲4</t>
  </si>
  <si>
    <t>YoY %5</t>
  </si>
  <si>
    <t>Cost of Sales</t>
  </si>
  <si>
    <t>YoY ▲3</t>
  </si>
  <si>
    <t>YoY %2</t>
  </si>
  <si>
    <t>YoY ▲5</t>
  </si>
  <si>
    <t>YoY %4</t>
  </si>
  <si>
    <t>Adidas (ADDYY)</t>
  </si>
  <si>
    <t>Lululemon (LULU)</t>
  </si>
  <si>
    <t>NIKE (NKE)</t>
  </si>
  <si>
    <t>Anta Sportswear</t>
  </si>
  <si>
    <t>Anta Sportswear (2020.HK)</t>
  </si>
  <si>
    <t xml:space="preserve">Industry Margin </t>
  </si>
  <si>
    <t xml:space="preserve">2024
  12-31 </t>
  </si>
  <si>
    <t xml:space="preserve">2023
  12-31 </t>
  </si>
  <si>
    <t xml:space="preserve">2022
  12-31 </t>
  </si>
  <si>
    <t xml:space="preserve">2021
  12-31 </t>
  </si>
  <si>
    <t xml:space="preserve">2020
  12-31 </t>
  </si>
  <si>
    <t xml:space="preserve"> 2025-09-30 </t>
  </si>
  <si>
    <t xml:space="preserve"> 2024-12-31 </t>
  </si>
  <si>
    <t xml:space="preserve"> 2023-12-31 </t>
  </si>
  <si>
    <t xml:space="preserve"> 2022-12-31 </t>
  </si>
  <si>
    <t xml:space="preserve"> 2021-12-31 </t>
  </si>
  <si>
    <t xml:space="preserve"> 2020-12-31 </t>
  </si>
  <si>
    <t>151</t>
  </si>
  <si>
    <t>153</t>
  </si>
  <si>
    <t>130</t>
  </si>
  <si>
    <t>164</t>
  </si>
  <si>
    <t>128</t>
  </si>
  <si>
    <t>98</t>
  </si>
  <si>
    <t>-227</t>
  </si>
  <si>
    <t>-150</t>
  </si>
  <si>
    <t>-193</t>
  </si>
  <si>
    <t>-161</t>
  </si>
  <si>
    <t>-8</t>
  </si>
  <si>
    <t>407</t>
  </si>
  <si>
    <t>268</t>
  </si>
  <si>
    <t>751</t>
  </si>
  <si>
    <t>949</t>
  </si>
  <si>
    <t>-218.5</t>
  </si>
  <si>
    <t>-164</t>
  </si>
  <si>
    <t>-121</t>
  </si>
  <si>
    <t>-114</t>
  </si>
  <si>
    <t>-165</t>
  </si>
  <si>
    <t>-139</t>
  </si>
  <si>
    <t>-37</t>
  </si>
  <si>
    <t>41.02</t>
  </si>
  <si>
    <t>39</t>
  </si>
  <si>
    <t>23</t>
  </si>
  <si>
    <t>12</t>
  </si>
  <si>
    <t>25</t>
  </si>
  <si>
    <t>17</t>
  </si>
  <si>
    <t>35</t>
  </si>
  <si>
    <t>31</t>
  </si>
  <si>
    <t>259.5</t>
  </si>
  <si>
    <t>221</t>
  </si>
  <si>
    <t>160</t>
  </si>
  <si>
    <t>137</t>
  </si>
  <si>
    <t>177</t>
  </si>
  <si>
    <t>-35.5</t>
  </si>
  <si>
    <t>-52</t>
  </si>
  <si>
    <t>-81</t>
  </si>
  <si>
    <t>-167</t>
  </si>
  <si>
    <t>-3</t>
  </si>
  <si>
    <t>66</t>
  </si>
  <si>
    <t>388</t>
  </si>
  <si>
    <t>575</t>
  </si>
  <si>
    <t>124</t>
  </si>
  <si>
    <t>134</t>
  </si>
  <si>
    <t>360</t>
  </si>
  <si>
    <t>146</t>
  </si>
  <si>
    <t>271</t>
  </si>
  <si>
    <t>46</t>
  </si>
  <si>
    <t>60</t>
  </si>
  <si>
    <t>764</t>
  </si>
  <si>
    <t>-75</t>
  </si>
  <si>
    <t>254</t>
  </si>
  <si>
    <t>432</t>
  </si>
  <si>
    <t>505</t>
  </si>
  <si>
    <t>773</t>
  </si>
  <si>
    <t>3.41</t>
  </si>
  <si>
    <t>2.14</t>
  </si>
  <si>
    <t>-0.21</t>
  </si>
  <si>
    <t>0.7</t>
  </si>
  <si>
    <t>3.84</t>
  </si>
  <si>
    <t>1.11</t>
  </si>
  <si>
    <t>357.4</t>
  </si>
  <si>
    <t>357.1</t>
  </si>
  <si>
    <t>366.5</t>
  </si>
  <si>
    <t>388.3</t>
  </si>
  <si>
    <t>390.3</t>
  </si>
  <si>
    <t>388.4</t>
  </si>
  <si>
    <t xml:space="preserve"> 2025-06-30 </t>
  </si>
  <si>
    <t>75,635</t>
  </si>
  <si>
    <t>70,826</t>
  </si>
  <si>
    <t>62,356</t>
  </si>
  <si>
    <t>53,651</t>
  </si>
  <si>
    <t>49,328</t>
  </si>
  <si>
    <t>35,512</t>
  </si>
  <si>
    <t>28,796</t>
  </si>
  <si>
    <t>26,794</t>
  </si>
  <si>
    <t>23,328</t>
  </si>
  <si>
    <t>21,333</t>
  </si>
  <si>
    <t>18,924</t>
  </si>
  <si>
    <t>14,861</t>
  </si>
  <si>
    <t>46,839</t>
  </si>
  <si>
    <t>44,032</t>
  </si>
  <si>
    <t>39,028</t>
  </si>
  <si>
    <t>32,318</t>
  </si>
  <si>
    <t>30,404</t>
  </si>
  <si>
    <t>20,651</t>
  </si>
  <si>
    <t>28,773</t>
  </si>
  <si>
    <t>27,437</t>
  </si>
  <si>
    <t>23,661</t>
  </si>
  <si>
    <t>21,088</t>
  </si>
  <si>
    <t>19,415</t>
  </si>
  <si>
    <t>11,499</t>
  </si>
  <si>
    <t>72</t>
  </si>
  <si>
    <t>1,447</t>
  </si>
  <si>
    <t>1,116</t>
  </si>
  <si>
    <t>871</t>
  </si>
  <si>
    <t>31,687</t>
  </si>
  <si>
    <t>29,845</t>
  </si>
  <si>
    <t>25,366</t>
  </si>
  <si>
    <t>23,216</t>
  </si>
  <si>
    <t>20,681</t>
  </si>
  <si>
    <t>12,888</t>
  </si>
  <si>
    <t>-2,986</t>
  </si>
  <si>
    <t>-2,408</t>
  </si>
  <si>
    <t>-1,705</t>
  </si>
  <si>
    <t>-3,575</t>
  </si>
  <si>
    <t>-2,382</t>
  </si>
  <si>
    <t>-2,260</t>
  </si>
  <si>
    <t>18,066</t>
  </si>
  <si>
    <t>16,595</t>
  </si>
  <si>
    <t>15,367</t>
  </si>
  <si>
    <t>11,230</t>
  </si>
  <si>
    <t>10,989</t>
  </si>
  <si>
    <t>9,152</t>
  </si>
  <si>
    <t>1,676</t>
  </si>
  <si>
    <t>1,220</t>
  </si>
  <si>
    <t>-51</t>
  </si>
  <si>
    <t>-136</t>
  </si>
  <si>
    <t>2,302</t>
  </si>
  <si>
    <t>1,846</t>
  </si>
  <si>
    <t>1,470</t>
  </si>
  <si>
    <t>609</t>
  </si>
  <si>
    <t>392</t>
  </si>
  <si>
    <t>626</t>
  </si>
  <si>
    <t>521</t>
  </si>
  <si>
    <t>443</t>
  </si>
  <si>
    <t>2,373</t>
  </si>
  <si>
    <t>4,069</t>
  </si>
  <si>
    <t>-676</t>
  </si>
  <si>
    <t>27</t>
  </si>
  <si>
    <t>302</t>
  </si>
  <si>
    <t>-927</t>
  </si>
  <si>
    <t>22,115</t>
  </si>
  <si>
    <t>21,884</t>
  </si>
  <si>
    <t>15,640</t>
  </si>
  <si>
    <t>11,355</t>
  </si>
  <si>
    <t>11,240</t>
  </si>
  <si>
    <t>8,089</t>
  </si>
  <si>
    <t>5,434</t>
  </si>
  <si>
    <t>4,895</t>
  </si>
  <si>
    <t>4,363</t>
  </si>
  <si>
    <t>3,110</t>
  </si>
  <si>
    <t>3,021</t>
  </si>
  <si>
    <t>2,520</t>
  </si>
  <si>
    <t>1,775</t>
  </si>
  <si>
    <t>1,393</t>
  </si>
  <si>
    <t>1,041</t>
  </si>
  <si>
    <t>655</t>
  </si>
  <si>
    <t>14.67</t>
  </si>
  <si>
    <t>14,906</t>
  </si>
  <si>
    <t>15,596</t>
  </si>
  <si>
    <t>10,236</t>
  </si>
  <si>
    <t>7,590</t>
  </si>
  <si>
    <t>7,720</t>
  </si>
  <si>
    <t>5,162</t>
  </si>
  <si>
    <t>5,643</t>
  </si>
  <si>
    <t>5,471</t>
  </si>
  <si>
    <t>4,987</t>
  </si>
  <si>
    <t>4,464</t>
  </si>
  <si>
    <t>3,266</t>
  </si>
  <si>
    <t>2,079</t>
  </si>
  <si>
    <t>23,709</t>
  </si>
  <si>
    <t>22,066</t>
  </si>
  <si>
    <t>20,354</t>
  </si>
  <si>
    <t>15,694</t>
  </si>
  <si>
    <t>14,255</t>
  </si>
  <si>
    <t>11,231</t>
  </si>
  <si>
    <t>5.3</t>
  </si>
  <si>
    <t>5.55</t>
  </si>
  <si>
    <t>3.69</t>
  </si>
  <si>
    <t>2.82</t>
  </si>
  <si>
    <t>2.87</t>
  </si>
  <si>
    <t>1.92</t>
  </si>
  <si>
    <t>5.23</t>
  </si>
  <si>
    <t>5.41</t>
  </si>
  <si>
    <t>3.6</t>
  </si>
  <si>
    <t>2.76</t>
  </si>
  <si>
    <t>2.81</t>
  </si>
  <si>
    <t>1.89</t>
  </si>
  <si>
    <t>2,884</t>
  </si>
  <si>
    <t>2,842</t>
  </si>
  <si>
    <t>2,692</t>
  </si>
  <si>
    <t>2,690</t>
  </si>
  <si>
    <t>2,903</t>
  </si>
  <si>
    <t>2,906</t>
  </si>
  <si>
    <t>2,867</t>
  </si>
  <si>
    <t>2,781</t>
  </si>
  <si>
    <t>2,776</t>
  </si>
  <si>
    <t>2,768</t>
  </si>
  <si>
    <t xml:space="preserve">2025
  02-02 </t>
  </si>
  <si>
    <t xml:space="preserve">2024
  01-28 </t>
  </si>
  <si>
    <t xml:space="preserve">2023
  01-29 </t>
  </si>
  <si>
    <t xml:space="preserve">2022
  01-30 </t>
  </si>
  <si>
    <t xml:space="preserve">2021
  01-31 </t>
  </si>
  <si>
    <t xml:space="preserve">2020
  02-02 </t>
  </si>
  <si>
    <t xml:space="preserve"> 2025-12-11 </t>
  </si>
  <si>
    <t xml:space="preserve"> 2025-03-27 </t>
  </si>
  <si>
    <t xml:space="preserve"> 2024-03-21 </t>
  </si>
  <si>
    <t xml:space="preserve"> 2023-03-28 </t>
  </si>
  <si>
    <t xml:space="preserve"> 2022-03-29 </t>
  </si>
  <si>
    <t xml:space="preserve"> 2021-03-30 </t>
  </si>
  <si>
    <t xml:space="preserve"> 2020-03-26 </t>
  </si>
  <si>
    <t>-2.05</t>
  </si>
  <si>
    <t>2.73</t>
  </si>
  <si>
    <t>79.51</t>
  </si>
  <si>
    <t>406.5</t>
  </si>
  <si>
    <t>50.18</t>
  </si>
  <si>
    <t>0.029</t>
  </si>
  <si>
    <t>820</t>
  </si>
  <si>
    <t>889.1</t>
  </si>
  <si>
    <t>33.93</t>
  </si>
  <si>
    <t>70.38</t>
  </si>
  <si>
    <t>43.06</t>
  </si>
  <si>
    <t>4.16</t>
  </si>
  <si>
    <t>0.514</t>
  </si>
  <si>
    <t>-0.636</t>
  </si>
  <si>
    <t>8.28</t>
  </si>
  <si>
    <t>819.4</t>
  </si>
  <si>
    <t>897.4</t>
  </si>
  <si>
    <t>742.5</t>
  </si>
  <si>
    <t>761.5</t>
  </si>
  <si>
    <t>625.5</t>
  </si>
  <si>
    <t>477.8</t>
  </si>
  <si>
    <t>358.5</t>
  </si>
  <si>
    <t>230.4</t>
  </si>
  <si>
    <t>251.8</t>
  </si>
  <si>
    <t>854.8</t>
  </si>
  <si>
    <t>975.3</t>
  </si>
  <si>
    <t>588.9</t>
  </si>
  <si>
    <t>645.6</t>
  </si>
  <si>
    <t>495.3</t>
  </si>
  <si>
    <t>446.5</t>
  </si>
  <si>
    <t>379.4</t>
  </si>
  <si>
    <t>291.8</t>
  </si>
  <si>
    <t>224.2</t>
  </si>
  <si>
    <t>185.5</t>
  </si>
  <si>
    <t>161.9</t>
  </si>
  <si>
    <t>14.45</t>
  </si>
  <si>
    <t>12.23</t>
  </si>
  <si>
    <t>6.7</t>
  </si>
  <si>
    <t>7.52</t>
  </si>
  <si>
    <t>4.52</t>
  </si>
  <si>
    <t>4.95</t>
  </si>
  <si>
    <t>14.43</t>
  </si>
  <si>
    <t>14.64</t>
  </si>
  <si>
    <t>12.2</t>
  </si>
  <si>
    <t>6.68</t>
  </si>
  <si>
    <t>7.49</t>
  </si>
  <si>
    <t>4.5</t>
  </si>
  <si>
    <t>4.93</t>
  </si>
  <si>
    <t>118.5</t>
  </si>
  <si>
    <t>123.7</t>
  </si>
  <si>
    <t>126.7</t>
  </si>
  <si>
    <t>127.7</t>
  </si>
  <si>
    <t>129.8</t>
  </si>
  <si>
    <t>130.3</t>
  </si>
  <si>
    <t>130.4</t>
  </si>
  <si>
    <t>118.6</t>
  </si>
  <si>
    <t>123.9</t>
  </si>
  <si>
    <t>127.1</t>
  </si>
  <si>
    <t>130.9</t>
  </si>
  <si>
    <t>131</t>
  </si>
  <si>
    <t>LuluLemon</t>
  </si>
  <si>
    <t>Adidas</t>
  </si>
  <si>
    <t>Selling General and Administrative</t>
  </si>
  <si>
    <t xml:space="preserve">Perporting period </t>
  </si>
  <si>
    <t>Cash Flow Quality</t>
  </si>
  <si>
    <t>Return On Equity</t>
  </si>
  <si>
    <t>Row Labels</t>
  </si>
  <si>
    <t>Grand Total</t>
  </si>
  <si>
    <t>Sum of Free Cash Flow</t>
  </si>
  <si>
    <t>Sum of Cash Flow Quality</t>
  </si>
  <si>
    <t>Sum of Debt-to-Equity</t>
  </si>
  <si>
    <t>Sum of Operating Margin</t>
  </si>
  <si>
    <t>Sum of Return On Equity</t>
  </si>
  <si>
    <t xml:space="preserve">Reporting period </t>
  </si>
  <si>
    <t>Reporting period</t>
  </si>
  <si>
    <t>Adidas EUR</t>
  </si>
  <si>
    <t>Anta CYN</t>
  </si>
  <si>
    <t>Year</t>
  </si>
  <si>
    <t>Actual</t>
  </si>
  <si>
    <t>Forecast</t>
  </si>
  <si>
    <t>Column Labels</t>
  </si>
  <si>
    <t>Entity</t>
  </si>
  <si>
    <t>Nike</t>
  </si>
  <si>
    <t>Lululemon</t>
  </si>
  <si>
    <t>Industry Margin</t>
  </si>
  <si>
    <t xml:space="preserve"> </t>
  </si>
  <si>
    <t>Revenue Actual</t>
  </si>
  <si>
    <t>Revenue(Forecast)</t>
  </si>
  <si>
    <t>COGS Efficiency △</t>
  </si>
  <si>
    <t>OpEx Efficiency △</t>
  </si>
  <si>
    <t>Rev Change (USD Billions) △</t>
  </si>
  <si>
    <t>Prior Year NI (USD Billions) △</t>
  </si>
  <si>
    <t>Impact on Current NI (USD Billions) △</t>
  </si>
  <si>
    <t>Label</t>
  </si>
  <si>
    <t>Amount</t>
  </si>
  <si>
    <t>Sum of Amount</t>
  </si>
  <si>
    <t xml:space="preserve">Prior Year NI </t>
  </si>
  <si>
    <t>Rev Change  △</t>
  </si>
  <si>
    <t xml:space="preserve">Impact on Current NI </t>
  </si>
  <si>
    <t>Metric</t>
  </si>
  <si>
    <t>Revenue Growth</t>
  </si>
  <si>
    <t>Net Income Margin</t>
  </si>
  <si>
    <t>Operating expense ratio</t>
  </si>
  <si>
    <t>Gross margin percentage</t>
  </si>
  <si>
    <t>Earnings Bridge Driver</t>
  </si>
  <si>
    <t>Operating Expense</t>
  </si>
  <si>
    <t>Helper cells</t>
  </si>
  <si>
    <t xml:space="preserve">Net Income Margin </t>
  </si>
  <si>
    <t>Gross Margin %</t>
  </si>
  <si>
    <t>Earnings Bridge</t>
  </si>
  <si>
    <t>Value</t>
  </si>
  <si>
    <t>Rev</t>
  </si>
  <si>
    <t>Net</t>
  </si>
  <si>
    <t>Gross</t>
  </si>
  <si>
    <t>Cost Discipline</t>
  </si>
  <si>
    <t>Last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</si>
</sst>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3" x14ac:knownFonts="1">
    <font>
      <sz val="12"/>
      <color theme="1"/>
      <name val="Aptos Narrow"/>
      <family val="2"/>
      <scheme val="minor"/>
    </font>
    <font>
      <sz val="12"/>
      <color theme="1"/>
      <name val="Aptos Narrow"/>
      <family val="2"/>
      <scheme val="minor"/>
    </font>
    <font>
      <sz val="11"/>
      <color theme="1"/>
      <name val="Aptos Narrow"/>
      <family val="2"/>
      <scheme val="minor"/>
    </font>
    <font>
      <sz val="11"/>
      <name val="Calibri"/>
      <family val="2"/>
    </font>
    <font>
      <sz val="16"/>
      <name val="Calibri"/>
      <family val="2"/>
    </font>
    <font>
      <sz val="14"/>
      <name val="Calibri"/>
      <family val="2"/>
    </font>
    <font>
      <b/>
      <sz val="14"/>
      <color theme="1"/>
      <name val="Aptos Narrow (Body)"/>
    </font>
    <font>
      <sz val="14"/>
      <color theme="1"/>
      <name val="Aptos Narrow"/>
      <family val="2"/>
      <scheme val="minor"/>
    </font>
    <font>
      <sz val="16"/>
      <color theme="1"/>
      <name val="Aptos Narrow"/>
      <family val="2"/>
      <scheme val="minor"/>
    </font>
    <font>
      <sz val="8"/>
      <name val="Aptos Narrow"/>
      <family val="2"/>
      <scheme val="minor"/>
    </font>
    <font>
      <sz val="12"/>
      <color theme="1"/>
      <name val="Trade Gothic Next Rounded Bold"/>
    </font>
    <font>
      <sz val="12"/>
      <color rgb="FF000000"/>
      <name val="Aptos Narrow"/>
      <family val="2"/>
      <scheme val="minor"/>
    </font>
    <font>
      <sz val="12"/>
      <color theme="1"/>
      <name val="Helvetica"/>
      <family val="2"/>
    </font>
  </fonts>
  <fills count="4">
    <fill>
      <patternFill patternType="none"/>
    </fill>
    <fill>
      <patternFill patternType="gray125"/>
    </fill>
    <fill>
      <patternFill patternType="solid">
        <fgColor rgb="FFFFFFFF"/>
        <bgColor indexed="64"/>
      </patternFill>
    </fill>
    <fill>
      <patternFill patternType="solid">
        <fgColor rgb="FFE5E5E5"/>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40">
    <xf numFmtId="0" fontId="0" fillId="0" borderId="0" xfId="0"/>
    <xf numFmtId="0" fontId="3" fillId="0" borderId="0" xfId="2" applyFont="1"/>
    <xf numFmtId="0" fontId="2" fillId="0" borderId="0" xfId="2"/>
    <xf numFmtId="2" fontId="0" fillId="0" borderId="0" xfId="0" applyNumberFormat="1"/>
    <xf numFmtId="0" fontId="4" fillId="0" borderId="0" xfId="2" applyFont="1"/>
    <xf numFmtId="0" fontId="5" fillId="0" borderId="0" xfId="2" applyFont="1"/>
    <xf numFmtId="49" fontId="5" fillId="0" borderId="0" xfId="2" applyNumberFormat="1" applyFont="1"/>
    <xf numFmtId="49" fontId="5" fillId="0" borderId="0" xfId="2" applyNumberFormat="1" applyFont="1" applyAlignment="1">
      <alignment wrapText="1"/>
    </xf>
    <xf numFmtId="0" fontId="6" fillId="0" borderId="0" xfId="0" applyFont="1"/>
    <xf numFmtId="9" fontId="2" fillId="0" borderId="0" xfId="1" applyFont="1"/>
    <xf numFmtId="9" fontId="5" fillId="0" borderId="0" xfId="1" applyFont="1" applyFill="1"/>
    <xf numFmtId="0" fontId="3" fillId="0" borderId="0" xfId="0" applyFont="1"/>
    <xf numFmtId="0" fontId="5" fillId="0" borderId="0" xfId="0" applyFont="1"/>
    <xf numFmtId="2" fontId="5" fillId="0" borderId="0" xfId="2" applyNumberFormat="1" applyFont="1"/>
    <xf numFmtId="10" fontId="0" fillId="0" borderId="0" xfId="1" applyNumberFormat="1" applyFont="1"/>
    <xf numFmtId="9" fontId="5" fillId="0" borderId="0" xfId="1" applyFont="1"/>
    <xf numFmtId="0" fontId="7" fillId="0" borderId="0" xfId="0" applyFont="1"/>
    <xf numFmtId="49" fontId="7" fillId="0" borderId="0" xfId="0" applyNumberFormat="1" applyFont="1"/>
    <xf numFmtId="10" fontId="7" fillId="0" borderId="0" xfId="0" applyNumberFormat="1" applyFont="1"/>
    <xf numFmtId="10" fontId="7" fillId="0" borderId="0" xfId="1" applyNumberFormat="1" applyFont="1"/>
    <xf numFmtId="9" fontId="7" fillId="0" borderId="0" xfId="1" applyFont="1"/>
    <xf numFmtId="0" fontId="8" fillId="0" borderId="0" xfId="0" applyFont="1"/>
    <xf numFmtId="2" fontId="7" fillId="0" borderId="0" xfId="0" applyNumberFormat="1" applyFont="1"/>
    <xf numFmtId="164" fontId="5" fillId="0" borderId="0" xfId="1" applyNumberFormat="1" applyFont="1" applyFill="1"/>
    <xf numFmtId="10" fontId="5" fillId="0" borderId="0" xfId="1" applyNumberFormat="1" applyFont="1" applyFill="1"/>
    <xf numFmtId="164" fontId="5" fillId="0" borderId="0" xfId="1" applyNumberFormat="1" applyFont="1"/>
    <xf numFmtId="10" fontId="5" fillId="0" borderId="0" xfId="1" applyNumberFormat="1" applyFont="1"/>
    <xf numFmtId="10" fontId="0" fillId="0" borderId="0" xfId="0" applyNumberFormat="1"/>
    <xf numFmtId="1" fontId="3" fillId="0" borderId="0" xfId="2" applyNumberFormat="1" applyFont="1"/>
    <xf numFmtId="0" fontId="0" fillId="2" borderId="0" xfId="0" applyFill="1"/>
    <xf numFmtId="0" fontId="0" fillId="3" borderId="0" xfId="0" applyFill="1"/>
    <xf numFmtId="166" fontId="0" fillId="0" borderId="0" xfId="0" applyNumberFormat="1"/>
    <xf numFmtId="164" fontId="0" fillId="0" borderId="0" xfId="0" applyNumberFormat="1"/>
    <xf numFmtId="0" fontId="10" fillId="3" borderId="0" xfId="0" applyFont="1" applyFill="1"/>
    <xf numFmtId="0" fontId="0" fillId="0" borderId="0" xfId="0" pivotButton="1"/>
    <xf numFmtId="0" fontId="0" fillId="0" borderId="0" xfId="0" applyAlignment="1">
      <alignment horizontal="left"/>
    </xf>
    <xf numFmtId="165" fontId="5" fillId="0" borderId="0" xfId="2" applyNumberFormat="1" applyFont="1"/>
    <xf numFmtId="0" fontId="11" fillId="0" borderId="0" xfId="0" applyFont="1"/>
    <xf numFmtId="0" fontId="0" fillId="0" borderId="0" xfId="0" applyNumberFormat="1"/>
    <xf numFmtId="0" fontId="12" fillId="0" borderId="0" xfId="0" applyFont="1"/>
  </cellXfs>
  <cellStyles count="3">
    <cellStyle name="Normal" xfId="0" builtinId="0"/>
    <cellStyle name="Normal 2" xfId="2" xr:uid="{C2DF8BFB-5C1A-CA49-881A-8EF2960B99CB}"/>
    <cellStyle name="Per cent" xfId="1" builtinId="5"/>
  </cellStyles>
  <dxfs count="177">
    <dxf>
      <numFmt numFmtId="14" formatCode="0.00%"/>
    </dxf>
    <dxf>
      <numFmt numFmtId="14" formatCode="0.00%"/>
    </dxf>
    <dxf>
      <numFmt numFmtId="14" formatCode="0.00%"/>
    </dxf>
    <dxf>
      <numFmt numFmtId="14" formatCode="0.00%"/>
    </dxf>
    <dxf>
      <numFmt numFmtId="14" formatCode="0.00%"/>
    </dxf>
    <dxf>
      <numFmt numFmtId="14" formatCode="0.0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4" formatCode="0.00%"/>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4"/>
        <color auto="1"/>
        <name val="Calibri"/>
        <family val="2"/>
        <scheme val="none"/>
      </font>
      <numFmt numFmtId="14" formatCode="0.00%"/>
    </dxf>
    <dxf>
      <font>
        <b val="0"/>
        <i val="0"/>
        <strike val="0"/>
        <condense val="0"/>
        <extend val="0"/>
        <outline val="0"/>
        <shadow val="0"/>
        <u val="none"/>
        <vertAlign val="baseline"/>
        <sz val="14"/>
        <color auto="1"/>
        <name val="Calibri"/>
        <family val="2"/>
        <scheme val="none"/>
      </font>
    </dxf>
    <dxf>
      <font>
        <b val="0"/>
        <i val="0"/>
        <strike val="0"/>
        <condense val="0"/>
        <extend val="0"/>
        <outline val="0"/>
        <shadow val="0"/>
        <u val="none"/>
        <vertAlign val="baseline"/>
        <sz val="14"/>
        <color auto="1"/>
        <name val="Calibri"/>
        <family val="2"/>
        <scheme val="none"/>
      </font>
      <numFmt numFmtId="0" formatCode="General"/>
    </dxf>
    <dxf>
      <numFmt numFmtId="14" formatCode="0.00%"/>
    </dxf>
    <dxf>
      <numFmt numFmtId="14" formatCode="0.00%"/>
    </dxf>
    <dxf>
      <numFmt numFmtId="164" formatCode="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66" formatCode="0.000"/>
    </dxf>
    <dxf>
      <font>
        <strike val="0"/>
        <outline val="0"/>
        <shadow val="0"/>
        <u val="none"/>
        <vertAlign val="baseline"/>
        <sz val="14"/>
        <color theme="1"/>
        <name val="Aptos Narrow"/>
        <family val="2"/>
        <scheme val="minor"/>
      </font>
      <numFmt numFmtId="14" formatCode="0.00%"/>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b val="0"/>
        <i val="0"/>
        <strike val="0"/>
        <condense val="0"/>
        <extend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numFmt numFmtId="14" formatCode="0.00%"/>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numFmt numFmtId="14" formatCode="0.00%"/>
    </dxf>
    <dxf>
      <font>
        <b val="0"/>
        <i val="0"/>
        <strike val="0"/>
        <condense val="0"/>
        <extend val="0"/>
        <outline val="0"/>
        <shadow val="0"/>
        <u val="none"/>
        <vertAlign val="baseline"/>
        <sz val="14"/>
        <color theme="1"/>
        <name val="Aptos Narrow"/>
        <family val="2"/>
        <scheme val="minor"/>
      </font>
      <numFmt numFmtId="2" formatCode="0.00"/>
    </dxf>
    <dxf>
      <font>
        <b val="0"/>
        <i val="0"/>
        <strike val="0"/>
        <condense val="0"/>
        <extend val="0"/>
        <outline val="0"/>
        <shadow val="0"/>
        <u val="none"/>
        <vertAlign val="baseline"/>
        <sz val="14"/>
        <color theme="1"/>
        <name val="Aptos Narrow"/>
        <family val="2"/>
        <scheme val="minor"/>
      </font>
      <numFmt numFmtId="2" formatCode="0.00"/>
    </dxf>
    <dxf>
      <font>
        <strike val="0"/>
        <outline val="0"/>
        <shadow val="0"/>
        <u val="none"/>
        <vertAlign val="baseline"/>
        <sz val="14"/>
        <color theme="1"/>
        <name val="Aptos Narrow"/>
        <family val="2"/>
        <scheme val="minor"/>
      </font>
      <numFmt numFmtId="14" formatCode="0.00%"/>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numFmt numFmtId="30" formatCode="@"/>
    </dxf>
    <dxf>
      <font>
        <strike val="0"/>
        <outline val="0"/>
        <shadow val="0"/>
        <u val="none"/>
        <vertAlign val="baseline"/>
        <sz val="14"/>
        <color theme="1"/>
        <name val="Aptos Narrow"/>
        <family val="2"/>
        <scheme val="minor"/>
      </font>
    </dxf>
    <dxf>
      <font>
        <strike val="0"/>
        <outline val="0"/>
        <shadow val="0"/>
        <u val="none"/>
        <vertAlign val="baseline"/>
        <sz val="16"/>
        <color theme="1"/>
        <name val="Aptos Narrow"/>
        <family val="2"/>
        <scheme val="minor"/>
      </font>
    </dxf>
    <dxf>
      <numFmt numFmtId="0" formatCode="General"/>
    </dxf>
    <dxf>
      <numFmt numFmtId="2" formatCode="0.00"/>
    </dxf>
    <dxf>
      <font>
        <b val="0"/>
        <i val="0"/>
        <strike val="0"/>
        <condense val="0"/>
        <extend val="0"/>
        <outline val="0"/>
        <shadow val="0"/>
        <u val="none"/>
        <vertAlign val="baseline"/>
        <sz val="12"/>
        <color theme="1"/>
        <name val="Aptos Narrow"/>
        <family val="2"/>
        <scheme val="minor"/>
      </font>
      <numFmt numFmtId="14" formatCode="0.00%"/>
    </dxf>
    <dxf>
      <numFmt numFmtId="0" formatCode="General"/>
    </dxf>
    <dxf>
      <font>
        <b val="0"/>
        <i val="0"/>
        <strike val="0"/>
        <condense val="0"/>
        <extend val="0"/>
        <outline val="0"/>
        <shadow val="0"/>
        <u val="none"/>
        <vertAlign val="baseline"/>
        <sz val="12"/>
        <color theme="1"/>
        <name val="Aptos Narrow"/>
        <family val="2"/>
        <scheme val="minor"/>
      </font>
      <numFmt numFmtId="14" formatCode="0.00%"/>
    </dxf>
    <dxf>
      <numFmt numFmtId="0" formatCode="General"/>
    </dxf>
    <dxf>
      <numFmt numFmtId="2" formatCode="0.0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numFmt numFmtId="166" formatCode="0.000"/>
    </dxf>
    <dxf>
      <font>
        <b val="0"/>
        <i val="0"/>
        <strike val="0"/>
        <condense val="0"/>
        <extend val="0"/>
        <outline val="0"/>
        <shadow val="0"/>
        <u val="none"/>
        <vertAlign val="baseline"/>
        <sz val="14"/>
        <color auto="1"/>
        <name val="Calibri"/>
        <family val="2"/>
        <scheme val="none"/>
      </font>
      <numFmt numFmtId="2" formatCode="0.00"/>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30" formatCode="@"/>
    </dxf>
    <dxf>
      <font>
        <b val="0"/>
        <i val="0"/>
        <strike val="0"/>
        <condense val="0"/>
        <extend val="0"/>
        <outline val="0"/>
        <shadow val="0"/>
        <u val="none"/>
        <vertAlign val="baseline"/>
        <sz val="14"/>
        <color auto="1"/>
        <name val="Calibri"/>
        <family val="2"/>
        <scheme val="none"/>
      </font>
    </dxf>
    <dxf>
      <font>
        <b val="0"/>
        <i val="0"/>
        <strike val="0"/>
        <condense val="0"/>
        <extend val="0"/>
        <outline val="0"/>
        <shadow val="0"/>
        <u val="none"/>
        <vertAlign val="baseline"/>
        <sz val="16"/>
        <color auto="1"/>
        <name val="Calibri"/>
        <family val="2"/>
        <scheme val="none"/>
      </font>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30" formatCode="@"/>
    </dxf>
    <dxf>
      <font>
        <b val="0"/>
        <i val="0"/>
        <strike val="0"/>
        <condense val="0"/>
        <extend val="0"/>
        <outline val="0"/>
        <shadow val="0"/>
        <u val="none"/>
        <vertAlign val="baseline"/>
        <sz val="14"/>
        <color auto="1"/>
        <name val="Calibri"/>
        <family val="2"/>
        <scheme val="none"/>
      </font>
    </dxf>
    <dxf>
      <font>
        <b val="0"/>
        <i val="0"/>
        <strike val="0"/>
        <condense val="0"/>
        <extend val="0"/>
        <outline val="0"/>
        <shadow val="0"/>
        <u val="none"/>
        <vertAlign val="baseline"/>
        <sz val="16"/>
        <color auto="1"/>
        <name val="Calibri"/>
        <family val="2"/>
        <scheme val="none"/>
      </font>
    </dxf>
    <dxf>
      <font>
        <b val="0"/>
        <i val="0"/>
        <strike val="0"/>
        <condense val="0"/>
        <extend val="0"/>
        <outline val="0"/>
        <shadow val="0"/>
        <u val="none"/>
        <vertAlign val="baseline"/>
        <sz val="14"/>
        <color auto="1"/>
        <name val="Calibri"/>
        <family val="2"/>
        <scheme val="none"/>
      </font>
      <numFmt numFmtId="164" formatCode="0.0%"/>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dxf>
    <dxf>
      <font>
        <b val="0"/>
        <i val="0"/>
        <strike val="0"/>
        <condense val="0"/>
        <extend val="0"/>
        <outline val="0"/>
        <shadow val="0"/>
        <u val="none"/>
        <vertAlign val="baseline"/>
        <sz val="14"/>
        <color auto="1"/>
        <name val="Calibri"/>
        <family val="2"/>
        <scheme val="none"/>
      </font>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0" formatCode="General"/>
    </dxf>
    <dxf>
      <font>
        <b val="0"/>
        <i val="0"/>
        <strike val="0"/>
        <condense val="0"/>
        <extend val="0"/>
        <outline val="0"/>
        <shadow val="0"/>
        <u val="none"/>
        <vertAlign val="baseline"/>
        <sz val="14"/>
        <color auto="1"/>
        <name val="Calibri"/>
        <family val="2"/>
        <scheme val="none"/>
      </font>
      <numFmt numFmtId="30" formatCode="@"/>
    </dxf>
    <dxf>
      <font>
        <b val="0"/>
        <i val="0"/>
        <strike val="0"/>
        <condense val="0"/>
        <extend val="0"/>
        <outline val="0"/>
        <shadow val="0"/>
        <u val="none"/>
        <vertAlign val="baseline"/>
        <sz val="14"/>
        <color auto="1"/>
        <name val="Calibri"/>
        <family val="2"/>
        <scheme val="none"/>
      </font>
    </dxf>
    <dxf>
      <font>
        <b val="0"/>
        <i val="0"/>
        <strike val="0"/>
        <condense val="0"/>
        <extend val="0"/>
        <outline val="0"/>
        <shadow val="0"/>
        <u val="none"/>
        <vertAlign val="baseline"/>
        <sz val="16"/>
        <color auto="1"/>
        <name val="Calibri"/>
        <family val="2"/>
        <scheme val="none"/>
      </font>
    </dxf>
    <dxf>
      <numFmt numFmtId="14" formatCode="0.00%"/>
    </dxf>
    <dxf>
      <numFmt numFmtId="14" formatCode="0.00%"/>
    </dxf>
    <dxf>
      <numFmt numFmtId="2" formatCode="0.00"/>
    </dxf>
    <dxf>
      <numFmt numFmtId="2" formatCode="0.00"/>
    </dxf>
    <dxf>
      <numFmt numFmtId="14" formatCode="0.00%"/>
    </dxf>
  </dxfs>
  <tableStyles count="0" defaultTableStyle="TableStyleMedium2" defaultPivotStyle="PivotStyleLight16"/>
  <colors>
    <mruColors>
      <color rgb="FFE5E5E5"/>
      <color rgb="FFFFFFFF"/>
      <color rgb="FFEA553B"/>
      <color rgb="FF005147"/>
      <color rgb="FF0459B2"/>
      <color rgb="FFE5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2.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1.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microsoft.com/office/2007/relationships/slicerCache" Target="slicerCaches/slicerCache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 Financial Analysis Dashboard.xlsx]Benchmark Pivots!PivotTable4</c:name>
    <c:fmtId val="5"/>
  </c:pivotSource>
  <c:chart>
    <c:title>
      <c:tx>
        <c:rich>
          <a:bodyPr rot="0" spcFirstLastPara="1" vertOverflow="ellipsis" vert="horz" wrap="square" anchor="ctr" anchorCtr="1"/>
          <a:lstStyle/>
          <a:p>
            <a:pPr>
              <a:defRPr sz="1320" b="0" i="0" u="none" strike="noStrike" kern="1200" spc="0" baseline="0">
                <a:solidFill>
                  <a:schemeClr val="tx1">
                    <a:lumMod val="95000"/>
                    <a:lumOff val="5000"/>
                  </a:schemeClr>
                </a:solidFill>
                <a:latin typeface="Helvetica" pitchFamily="2" charset="0"/>
                <a:ea typeface="+mn-ea"/>
                <a:cs typeface="+mn-cs"/>
              </a:defRPr>
            </a:pPr>
            <a:r>
              <a:rPr lang="en-GB" sz="1400" b="1"/>
              <a:t>Operating Margins Benchmarks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95000"/>
                  <a:lumOff val="5000"/>
                </a:schemeClr>
              </a:solidFill>
              <a:latin typeface="Helvetica" pitchFamily="2" charset="0"/>
              <a:ea typeface="+mn-ea"/>
              <a:cs typeface="+mn-cs"/>
            </a:defRPr>
          </a:pPr>
          <a:endParaRPr lang="en-US"/>
        </a:p>
      </c:txPr>
    </c:title>
    <c:autoTitleDeleted val="0"/>
    <c:pivotFmts>
      <c:pivotFmt>
        <c:idx val="0"/>
        <c:spPr>
          <a:solidFill>
            <a:schemeClr val="accent1"/>
          </a:solidFill>
          <a:ln w="28575" cap="rnd">
            <a:solidFill>
              <a:schemeClr val="accent1">
                <a:lumMod val="60000"/>
                <a:lumOff val="40000"/>
              </a:schemeClr>
            </a:solidFill>
            <a:round/>
          </a:ln>
          <a:effectLst/>
        </c:spPr>
        <c:marker>
          <c:spPr>
            <a:solidFill>
              <a:schemeClr val="accent1">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lumMod val="50000"/>
              </a:schemeClr>
            </a:solidFill>
            <a:round/>
          </a:ln>
          <a:effectLst/>
        </c:spPr>
        <c:marker>
          <c:spPr>
            <a:solidFill>
              <a:schemeClr val="bg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circle"/>
          <c:size val="5"/>
          <c:spPr>
            <a:solidFill>
              <a:schemeClr val="tx1"/>
            </a:solidFill>
            <a:ln w="9525">
              <a:solidFill>
                <a:schemeClr val="tx1">
                  <a:lumMod val="95000"/>
                  <a:lumOff val="5000"/>
                </a:schemeClr>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EA553B"/>
            </a:solidFill>
            <a:round/>
          </a:ln>
          <a:effectLst/>
        </c:spPr>
        <c:marker>
          <c:symbol val="circle"/>
          <c:size val="5"/>
          <c:spPr>
            <a:solidFill>
              <a:schemeClr val="accent2"/>
            </a:solidFill>
            <a:ln w="9525">
              <a:solidFill>
                <a:srgbClr val="EA553B"/>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solidFill>
          <a:ln w="28575" cap="rnd">
            <a:solidFill>
              <a:srgbClr val="EA553B"/>
            </a:solidFill>
            <a:round/>
          </a:ln>
          <a:effectLst/>
        </c:spPr>
        <c:marker>
          <c:symbol val="circle"/>
          <c:size val="5"/>
          <c:spPr>
            <a:solidFill>
              <a:schemeClr val="accent2"/>
            </a:solidFill>
            <a:ln w="9525">
              <a:solidFill>
                <a:srgbClr val="EA553B"/>
              </a:solidFill>
            </a:ln>
            <a:effectLst/>
          </c:spPr>
        </c:marker>
        <c:dLbl>
          <c:idx val="0"/>
          <c:layout>
            <c:manualLayout>
              <c:x val="-5.5837563451776602E-2"/>
              <c:y val="5.9288537549407112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A553B"/>
            </a:solidFill>
            <a:round/>
          </a:ln>
          <a:effectLst/>
        </c:spPr>
        <c:marker>
          <c:symbol val="circle"/>
          <c:size val="5"/>
          <c:spPr>
            <a:solidFill>
              <a:schemeClr val="accent2"/>
            </a:solidFill>
            <a:ln w="9525">
              <a:solidFill>
                <a:srgbClr val="EA553B"/>
              </a:solidFill>
            </a:ln>
            <a:effectLst/>
          </c:spPr>
        </c:marker>
        <c:dLbl>
          <c:idx val="0"/>
          <c:layout>
            <c:manualLayout>
              <c:x val="-6.3451776649746189E-2"/>
              <c:y val="5.1383399209486168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tx1"/>
            </a:solidFill>
            <a:round/>
          </a:ln>
          <a:effectLst/>
        </c:spPr>
        <c:marker>
          <c:symbol val="circle"/>
          <c:size val="5"/>
          <c:spPr>
            <a:solidFill>
              <a:schemeClr val="tx1"/>
            </a:solidFill>
            <a:ln w="9525">
              <a:solidFill>
                <a:schemeClr val="tx1">
                  <a:lumMod val="95000"/>
                  <a:lumOff val="5000"/>
                </a:schemeClr>
              </a:solidFill>
            </a:ln>
            <a:effectLst/>
          </c:spPr>
        </c:marker>
        <c:dLbl>
          <c:idx val="0"/>
          <c:layout>
            <c:manualLayout>
              <c:x val="-6.0913705583756347E-2"/>
              <c:y val="-4.7430830039525765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EA553B"/>
            </a:solidFill>
            <a:round/>
          </a:ln>
          <a:effectLst/>
        </c:spPr>
        <c:marker>
          <c:symbol val="circle"/>
          <c:size val="5"/>
          <c:spPr>
            <a:solidFill>
              <a:schemeClr val="accent2"/>
            </a:solidFill>
            <a:ln w="9525">
              <a:solidFill>
                <a:srgbClr val="EA553B"/>
              </a:solidFill>
            </a:ln>
            <a:effectLst/>
          </c:spPr>
        </c:marker>
        <c:dLbl>
          <c:idx val="0"/>
          <c:layout>
            <c:manualLayout>
              <c:x val="-4.568517926375959E-2"/>
              <c:y val="6.7193675889327995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93664814740794"/>
                  <c:h val="4.3458653636674865E-2"/>
                </c:manualLayout>
              </c15:layout>
            </c:ext>
          </c:extLst>
        </c:dLbl>
      </c:pivotFmt>
      <c:pivotFmt>
        <c:idx val="10"/>
        <c:spPr>
          <a:solidFill>
            <a:schemeClr val="accent1"/>
          </a:solidFill>
          <a:ln w="28575" cap="rnd">
            <a:solidFill>
              <a:schemeClr val="tx1"/>
            </a:solidFill>
            <a:round/>
          </a:ln>
          <a:effectLst/>
        </c:spPr>
        <c:marker>
          <c:symbol val="circle"/>
          <c:size val="5"/>
          <c:spPr>
            <a:solidFill>
              <a:schemeClr val="tx1"/>
            </a:solidFill>
            <a:ln w="9525">
              <a:solidFill>
                <a:schemeClr val="tx1">
                  <a:lumMod val="95000"/>
                  <a:lumOff val="5000"/>
                </a:schemeClr>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tx1"/>
            </a:solidFill>
            <a:round/>
          </a:ln>
          <a:effectLst/>
        </c:spPr>
        <c:marker>
          <c:symbol val="circle"/>
          <c:size val="5"/>
          <c:spPr>
            <a:solidFill>
              <a:schemeClr val="tx1"/>
            </a:solidFill>
            <a:ln w="9525">
              <a:solidFill>
                <a:schemeClr val="tx1">
                  <a:lumMod val="95000"/>
                  <a:lumOff val="5000"/>
                </a:schemeClr>
              </a:solidFill>
            </a:ln>
            <a:effectLst/>
          </c:spPr>
        </c:marker>
        <c:dLbl>
          <c:idx val="0"/>
          <c:layout>
            <c:manualLayout>
              <c:x val="-6.0913705583756347E-2"/>
              <c:y val="-4.7430830039525765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EA553B"/>
            </a:solidFill>
            <a:round/>
          </a:ln>
          <a:effectLst/>
        </c:spPr>
        <c:marker>
          <c:symbol val="circle"/>
          <c:size val="5"/>
          <c:spPr>
            <a:solidFill>
              <a:schemeClr val="accent2"/>
            </a:solidFill>
            <a:ln w="9525">
              <a:solidFill>
                <a:srgbClr val="EA553B"/>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EA553B"/>
            </a:solidFill>
            <a:round/>
          </a:ln>
          <a:effectLst/>
        </c:spPr>
        <c:marker>
          <c:symbol val="circle"/>
          <c:size val="5"/>
          <c:spPr>
            <a:solidFill>
              <a:schemeClr val="accent2"/>
            </a:solidFill>
            <a:ln w="9525">
              <a:solidFill>
                <a:srgbClr val="EA553B"/>
              </a:solidFill>
            </a:ln>
            <a:effectLst/>
          </c:spPr>
        </c:marker>
        <c:dLbl>
          <c:idx val="0"/>
          <c:layout>
            <c:manualLayout>
              <c:x val="-6.3451776649746189E-2"/>
              <c:y val="5.1383399209486168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EA553B"/>
            </a:solidFill>
            <a:round/>
          </a:ln>
          <a:effectLst/>
        </c:spPr>
        <c:marker>
          <c:symbol val="circle"/>
          <c:size val="5"/>
          <c:spPr>
            <a:solidFill>
              <a:schemeClr val="accent2"/>
            </a:solidFill>
            <a:ln w="9525">
              <a:solidFill>
                <a:srgbClr val="EA553B"/>
              </a:solidFill>
            </a:ln>
            <a:effectLst/>
          </c:spPr>
        </c:marker>
        <c:dLbl>
          <c:idx val="0"/>
          <c:layout>
            <c:manualLayout>
              <c:x val="-4.568517926375959E-2"/>
              <c:y val="6.7193675889327995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93664814740794"/>
                  <c:h val="4.3458653636674865E-2"/>
                </c:manualLayout>
              </c15:layout>
            </c:ext>
          </c:extLst>
        </c:dLbl>
      </c:pivotFmt>
      <c:pivotFmt>
        <c:idx val="15"/>
        <c:spPr>
          <a:solidFill>
            <a:schemeClr val="accent1"/>
          </a:solidFill>
          <a:ln w="28575" cap="rnd">
            <a:solidFill>
              <a:srgbClr val="EA553B"/>
            </a:solidFill>
            <a:round/>
          </a:ln>
          <a:effectLst/>
        </c:spPr>
        <c:marker>
          <c:symbol val="circle"/>
          <c:size val="5"/>
          <c:spPr>
            <a:solidFill>
              <a:schemeClr val="accent2"/>
            </a:solidFill>
            <a:ln w="9525">
              <a:solidFill>
                <a:srgbClr val="EA553B"/>
              </a:solidFill>
            </a:ln>
            <a:effectLst/>
          </c:spPr>
        </c:marker>
        <c:dLbl>
          <c:idx val="0"/>
          <c:layout>
            <c:manualLayout>
              <c:x val="-5.5837563451776602E-2"/>
              <c:y val="5.9288537549407112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solidFill>
              <a:schemeClr val="tx1"/>
            </a:solidFill>
          </a:ln>
          <a:effectLst/>
        </c:spPr>
        <c:dLbl>
          <c:idx val="0"/>
          <c:layout>
            <c:manualLayout>
              <c:x val="-2.4681810772910859E-2"/>
              <c:y val="-2.2134879250974527E-3"/>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EA553B"/>
          </a:solidFill>
          <a:ln>
            <a:solidFill>
              <a:srgbClr val="EA553B"/>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EA553B"/>
          </a:solidFill>
          <a:ln>
            <a:solidFill>
              <a:srgbClr val="EA553B"/>
            </a:solidFill>
          </a:ln>
          <a:effectLst/>
        </c:spPr>
        <c:dLbl>
          <c:idx val="0"/>
          <c:layout>
            <c:manualLayout>
              <c:x val="4.0412918029007955E-2"/>
              <c:y val="1.6600885559497278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EA553B"/>
          </a:solidFill>
          <a:ln>
            <a:solidFill>
              <a:srgbClr val="EA553B"/>
            </a:solidFill>
          </a:ln>
          <a:effectLst/>
        </c:spPr>
        <c:dLbl>
          <c:idx val="0"/>
          <c:layout>
            <c:manualLayout>
              <c:x val="3.4024978893259325E-2"/>
              <c:y val="5.6758902633645289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93664814740794"/>
                  <c:h val="4.3458653636674865E-2"/>
                </c:manualLayout>
              </c15:layout>
            </c:ext>
          </c:extLst>
        </c:dLbl>
      </c:pivotFmt>
      <c:pivotFmt>
        <c:idx val="21"/>
        <c:spPr>
          <a:solidFill>
            <a:srgbClr val="EA553B"/>
          </a:solidFill>
          <a:ln>
            <a:solidFill>
              <a:srgbClr val="EA553B"/>
            </a:solidFill>
          </a:ln>
          <a:effectLst/>
        </c:spPr>
        <c:dLbl>
          <c:idx val="0"/>
          <c:layout>
            <c:manualLayout>
              <c:x val="-5.5837563451776602E-2"/>
              <c:y val="5.9288537549407112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60000"/>
              <a:lumOff val="40000"/>
            </a:schemeClr>
          </a:solidFill>
          <a:ln>
            <a:solidFill>
              <a:schemeClr val="accent5">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bg2">
              <a:lumMod val="50000"/>
            </a:schemeClr>
          </a:solidFill>
          <a:ln>
            <a:solidFill>
              <a:schemeClr val="bg2">
                <a:lumMod val="50000"/>
              </a:schemeClr>
            </a:solidFill>
          </a:ln>
          <a:effectLst/>
        </c:spPr>
        <c:marker>
          <c:spPr>
            <a:solidFill>
              <a:schemeClr val="bg2">
                <a:lumMod val="50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60000"/>
              <a:lumOff val="40000"/>
            </a:schemeClr>
          </a:solidFill>
          <a:ln>
            <a:solidFill>
              <a:schemeClr val="accent1">
                <a:lumMod val="60000"/>
                <a:lumOff val="40000"/>
              </a:schemeClr>
            </a:solidFill>
          </a:ln>
          <a:effectLst/>
        </c:spPr>
        <c:marker>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'Benchmark Pivots'!$B$3:$B$4</c:f>
              <c:strCache>
                <c:ptCount val="1"/>
                <c:pt idx="0">
                  <c:v>Industry Margin</c:v>
                </c:pt>
              </c:strCache>
            </c:strRef>
          </c:tx>
          <c:spPr>
            <a:solidFill>
              <a:schemeClr val="tx1"/>
            </a:solidFill>
            <a:ln>
              <a:solidFill>
                <a:schemeClr val="tx1"/>
              </a:solidFill>
            </a:ln>
            <a:effectLst/>
          </c:spPr>
          <c:invertIfNegative val="0"/>
          <c:dPt>
            <c:idx val="0"/>
            <c:invertIfNegative val="0"/>
            <c:bubble3D val="0"/>
            <c:spPr>
              <a:solidFill>
                <a:schemeClr val="tx1"/>
              </a:solidFill>
              <a:ln>
                <a:solidFill>
                  <a:schemeClr val="tx1"/>
                </a:solidFill>
              </a:ln>
              <a:effectLst/>
            </c:spPr>
            <c:extLst>
              <c:ext xmlns:c16="http://schemas.microsoft.com/office/drawing/2014/chart" uri="{C3380CC4-5D6E-409C-BE32-E72D297353CC}">
                <c16:uniqueId val="{00000000-EB4C-7340-83EE-1F49FB96A7C9}"/>
              </c:ext>
            </c:extLst>
          </c:dPt>
          <c:dLbls>
            <c:dLbl>
              <c:idx val="0"/>
              <c:layout>
                <c:manualLayout>
                  <c:x val="-2.4681810772910859E-2"/>
                  <c:y val="-2.21348792509745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4C-7340-83EE-1F49FB96A7C9}"/>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 Pivots'!$A$5:$A$10</c:f>
              <c:strCache>
                <c:ptCount val="5"/>
                <c:pt idx="0">
                  <c:v>2021</c:v>
                </c:pt>
                <c:pt idx="1">
                  <c:v>2022</c:v>
                </c:pt>
                <c:pt idx="2">
                  <c:v>2023</c:v>
                </c:pt>
                <c:pt idx="3">
                  <c:v>2024</c:v>
                </c:pt>
                <c:pt idx="4">
                  <c:v>2025</c:v>
                </c:pt>
              </c:strCache>
            </c:strRef>
          </c:cat>
          <c:val>
            <c:numRef>
              <c:f>'Benchmark Pivots'!$B$5:$B$10</c:f>
              <c:numCache>
                <c:formatCode>0.00%</c:formatCode>
                <c:ptCount val="5"/>
                <c:pt idx="0">
                  <c:v>0.17101680029870608</c:v>
                </c:pt>
                <c:pt idx="1">
                  <c:v>0.17610939080613619</c:v>
                </c:pt>
                <c:pt idx="2">
                  <c:v>0.13960863402198936</c:v>
                </c:pt>
                <c:pt idx="3">
                  <c:v>0.17231078180139098</c:v>
                </c:pt>
                <c:pt idx="4">
                  <c:v>0.23777035455683124</c:v>
                </c:pt>
              </c:numCache>
            </c:numRef>
          </c:val>
          <c:extLst>
            <c:ext xmlns:c16="http://schemas.microsoft.com/office/drawing/2014/chart" uri="{C3380CC4-5D6E-409C-BE32-E72D297353CC}">
              <c16:uniqueId val="{00000001-EB4C-7340-83EE-1F49FB96A7C9}"/>
            </c:ext>
          </c:extLst>
        </c:ser>
        <c:ser>
          <c:idx val="1"/>
          <c:order val="1"/>
          <c:tx>
            <c:strRef>
              <c:f>'Benchmark Pivots'!$C$3:$C$4</c:f>
              <c:strCache>
                <c:ptCount val="1"/>
                <c:pt idx="0">
                  <c:v>Nike</c:v>
                </c:pt>
              </c:strCache>
            </c:strRef>
          </c:tx>
          <c:spPr>
            <a:solidFill>
              <a:srgbClr val="EA553B"/>
            </a:solidFill>
            <a:ln>
              <a:solidFill>
                <a:srgbClr val="EA553B"/>
              </a:solidFill>
            </a:ln>
            <a:effectLst/>
          </c:spPr>
          <c:invertIfNegative val="0"/>
          <c:dPt>
            <c:idx val="0"/>
            <c:invertIfNegative val="0"/>
            <c:bubble3D val="0"/>
            <c:spPr>
              <a:solidFill>
                <a:srgbClr val="EA553B"/>
              </a:solidFill>
              <a:ln>
                <a:solidFill>
                  <a:srgbClr val="EA553B"/>
                </a:solidFill>
              </a:ln>
              <a:effectLst/>
            </c:spPr>
          </c:dPt>
          <c:dPt>
            <c:idx val="1"/>
            <c:invertIfNegative val="0"/>
            <c:bubble3D val="0"/>
            <c:spPr>
              <a:solidFill>
                <a:srgbClr val="EA553B"/>
              </a:solidFill>
              <a:ln>
                <a:solidFill>
                  <a:srgbClr val="EA553B"/>
                </a:solidFill>
              </a:ln>
              <a:effectLst/>
            </c:spPr>
          </c:dPt>
          <c:dPt>
            <c:idx val="2"/>
            <c:invertIfNegative val="0"/>
            <c:bubble3D val="0"/>
            <c:spPr>
              <a:solidFill>
                <a:srgbClr val="EA553B"/>
              </a:solidFill>
              <a:ln>
                <a:solidFill>
                  <a:srgbClr val="EA553B"/>
                </a:solidFill>
              </a:ln>
              <a:effectLst/>
            </c:spPr>
          </c:dPt>
          <c:dLbls>
            <c:dLbl>
              <c:idx val="0"/>
              <c:layout>
                <c:manualLayout>
                  <c:x val="4.0412918029007955E-2"/>
                  <c:y val="1.6600885559497278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3.4024978893259325E-2"/>
                  <c:y val="5.6758902633645289E-2"/>
                </c:manualLayout>
              </c:layout>
              <c:showLegendKey val="0"/>
              <c:showVal val="1"/>
              <c:showCatName val="0"/>
              <c:showSerName val="0"/>
              <c:showPercent val="0"/>
              <c:showBubbleSize val="0"/>
              <c:extLst>
                <c:ext xmlns:c15="http://schemas.microsoft.com/office/drawing/2012/chart" uri="{CE6537A1-D6FC-4f65-9D91-7224C49458BB}">
                  <c15:layout>
                    <c:manualLayout>
                      <c:w val="0.10993664814740794"/>
                      <c:h val="4.3458653636674865E-2"/>
                    </c:manualLayout>
                  </c15:layout>
                </c:ext>
              </c:extLst>
            </c:dLbl>
            <c:dLbl>
              <c:idx val="2"/>
              <c:layout>
                <c:manualLayout>
                  <c:x val="-5.5837563451776602E-2"/>
                  <c:y val="5.9288537549407112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 Pivots'!$A$5:$A$10</c:f>
              <c:strCache>
                <c:ptCount val="5"/>
                <c:pt idx="0">
                  <c:v>2021</c:v>
                </c:pt>
                <c:pt idx="1">
                  <c:v>2022</c:v>
                </c:pt>
                <c:pt idx="2">
                  <c:v>2023</c:v>
                </c:pt>
                <c:pt idx="3">
                  <c:v>2024</c:v>
                </c:pt>
                <c:pt idx="4">
                  <c:v>2025</c:v>
                </c:pt>
              </c:strCache>
            </c:strRef>
          </c:cat>
          <c:val>
            <c:numRef>
              <c:f>'Benchmark Pivots'!$C$5:$C$10</c:f>
              <c:numCache>
                <c:formatCode>0.00%</c:formatCode>
                <c:ptCount val="5"/>
                <c:pt idx="0">
                  <c:v>0.15575463649018817</c:v>
                </c:pt>
                <c:pt idx="1">
                  <c:v>0.14290301862556198</c:v>
                </c:pt>
                <c:pt idx="2">
                  <c:v>0.11548899779370131</c:v>
                </c:pt>
                <c:pt idx="3">
                  <c:v>0.12287294108484871</c:v>
                </c:pt>
                <c:pt idx="4">
                  <c:v>7.9941264117126265E-2</c:v>
                </c:pt>
              </c:numCache>
            </c:numRef>
          </c:val>
          <c:extLst>
            <c:ext xmlns:c16="http://schemas.microsoft.com/office/drawing/2014/chart" uri="{C3380CC4-5D6E-409C-BE32-E72D297353CC}">
              <c16:uniqueId val="{00000004-5119-3240-8BAD-07124293258A}"/>
            </c:ext>
          </c:extLst>
        </c:ser>
        <c:dLbls>
          <c:showLegendKey val="0"/>
          <c:showVal val="0"/>
          <c:showCatName val="0"/>
          <c:showSerName val="0"/>
          <c:showPercent val="0"/>
          <c:showBubbleSize val="0"/>
        </c:dLbls>
        <c:gapWidth val="150"/>
        <c:axId val="1534625535"/>
        <c:axId val="1534637631"/>
      </c:barChart>
      <c:catAx>
        <c:axId val="153462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crossAx val="1534637631"/>
        <c:crosses val="autoZero"/>
        <c:auto val="1"/>
        <c:lblAlgn val="ctr"/>
        <c:lblOffset val="100"/>
        <c:noMultiLvlLbl val="0"/>
      </c:catAx>
      <c:valAx>
        <c:axId val="1534637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crossAx val="153462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Helveti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baseline="0">
          <a:solidFill>
            <a:schemeClr val="tx1">
              <a:lumMod val="95000"/>
              <a:lumOff val="5000"/>
            </a:schemeClr>
          </a:solidFill>
          <a:latin typeface="Helvetica"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 Financial Analysis Dashboard.xlsx]Forecast Pivot!PivotTable6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Helvetica" pitchFamily="2" charset="0"/>
                <a:ea typeface="+mn-ea"/>
                <a:cs typeface="+mn-cs"/>
              </a:defRPr>
            </a:pPr>
            <a:r>
              <a:rPr lang="en-GB" sz="1400" b="1"/>
              <a:t>Revenue</a:t>
            </a:r>
            <a:r>
              <a:rPr lang="en-GB" sz="1400" b="1" baseline="0"/>
              <a:t> Actual vs Forecasted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Helvetica" pitchFamily="2" charset="0"/>
              <a:ea typeface="+mn-ea"/>
              <a:cs typeface="+mn-cs"/>
            </a:defRPr>
          </a:pPr>
          <a:endParaRPr lang="en-US"/>
        </a:p>
      </c:txPr>
    </c:title>
    <c:autoTitleDeleted val="0"/>
    <c:pivotFmts>
      <c:pivotFmt>
        <c:idx val="0"/>
        <c:spPr>
          <a:solidFill>
            <a:schemeClr val="accent1"/>
          </a:solidFill>
          <a:ln w="28575" cap="rnd">
            <a:solidFill>
              <a:schemeClr val="bg2">
                <a:lumMod val="75000"/>
              </a:schemeClr>
            </a:solidFill>
            <a:round/>
          </a:ln>
          <a:effectLst/>
        </c:spPr>
        <c:marker>
          <c:symbol val="diamond"/>
          <c:size val="5"/>
          <c:spPr>
            <a:solidFill>
              <a:schemeClr val="bg2">
                <a:lumMod val="75000"/>
              </a:schemeClr>
            </a:solidFill>
            <a:ln w="9525">
              <a:solidFill>
                <a:schemeClr val="bg2">
                  <a:lumMod val="75000"/>
                </a:schemeClr>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A553B"/>
            </a:solidFill>
            <a:round/>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2">
                <a:lumMod val="75000"/>
              </a:schemeClr>
            </a:solidFill>
            <a:round/>
          </a:ln>
          <a:effectLst/>
        </c:spPr>
        <c:marker>
          <c:symbol val="diamond"/>
          <c:size val="5"/>
          <c:spPr>
            <a:solidFill>
              <a:schemeClr val="bg2">
                <a:lumMod val="75000"/>
              </a:schemeClr>
            </a:solidFill>
            <a:ln w="9525">
              <a:solidFill>
                <a:schemeClr val="bg2">
                  <a:lumMod val="75000"/>
                </a:schemeClr>
              </a:solidFill>
            </a:ln>
            <a:effectLst/>
          </c:spPr>
        </c:marker>
        <c:dLbl>
          <c:idx val="0"/>
          <c:layout>
            <c:manualLayout>
              <c:x val="-1.9089574155653505E-2"/>
              <c:y val="-3.9138943248532308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A553B"/>
            </a:solidFill>
            <a:prstDash val="sysDot"/>
            <a:round/>
          </a:ln>
          <a:effectLst/>
        </c:spPr>
        <c:marker>
          <c:symbol val="square"/>
          <c:size val="5"/>
          <c:spPr>
            <a:solidFill>
              <a:schemeClr val="accent2"/>
            </a:solidFill>
            <a:ln w="9525">
              <a:solidFill>
                <a:schemeClr val="accent2"/>
              </a:solidFill>
            </a:ln>
            <a:effectLst/>
          </c:spPr>
        </c:marker>
      </c:pivotFmt>
      <c:pivotFmt>
        <c:idx val="4"/>
        <c:spPr>
          <a:solidFill>
            <a:schemeClr val="accent1"/>
          </a:solidFill>
          <a:ln w="28575" cap="rnd">
            <a:solidFill>
              <a:schemeClr val="bg2">
                <a:lumMod val="75000"/>
              </a:schemeClr>
            </a:solidFill>
            <a:round/>
          </a:ln>
          <a:effectLst/>
        </c:spPr>
        <c:marker>
          <c:symbol val="diamond"/>
          <c:size val="5"/>
          <c:spPr>
            <a:solidFill>
              <a:schemeClr val="bg2">
                <a:lumMod val="75000"/>
              </a:schemeClr>
            </a:solidFill>
            <a:ln w="9525">
              <a:solidFill>
                <a:schemeClr val="bg2">
                  <a:lumMod val="75000"/>
                </a:schemeClr>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2">
                <a:lumMod val="75000"/>
              </a:schemeClr>
            </a:solidFill>
            <a:round/>
          </a:ln>
          <a:effectLst/>
        </c:spPr>
        <c:marker>
          <c:symbol val="diamond"/>
          <c:size val="5"/>
          <c:spPr>
            <a:solidFill>
              <a:schemeClr val="bg2">
                <a:lumMod val="75000"/>
              </a:schemeClr>
            </a:solidFill>
            <a:ln w="9525">
              <a:solidFill>
                <a:schemeClr val="bg2">
                  <a:lumMod val="75000"/>
                </a:schemeClr>
              </a:solidFill>
            </a:ln>
            <a:effectLst/>
          </c:spPr>
        </c:marker>
        <c:dLbl>
          <c:idx val="0"/>
          <c:layout>
            <c:manualLayout>
              <c:x val="-1.9089574155653505E-2"/>
              <c:y val="-3.9138943248532308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A553B"/>
            </a:solidFill>
            <a:round/>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A553B"/>
            </a:solidFill>
            <a:prstDash val="sysDot"/>
            <a:round/>
          </a:ln>
          <a:effectLst/>
        </c:spPr>
        <c:marker>
          <c:symbol val="square"/>
          <c:size val="5"/>
          <c:spPr>
            <a:solidFill>
              <a:schemeClr val="accent2"/>
            </a:solidFill>
            <a:ln w="9525">
              <a:solidFill>
                <a:schemeClr val="accent2"/>
              </a:solidFill>
            </a:ln>
            <a:effectLst/>
          </c:spPr>
        </c:marker>
      </c:pivotFmt>
      <c:pivotFmt>
        <c:idx val="8"/>
        <c:spPr>
          <a:ln w="28575" cap="rnd">
            <a:solidFill>
              <a:schemeClr val="bg2">
                <a:lumMod val="75000"/>
              </a:schemeClr>
            </a:solidFill>
            <a:round/>
          </a:ln>
          <a:effectLst/>
        </c:spPr>
        <c:marker>
          <c:symbol val="diamond"/>
          <c:size val="5"/>
          <c:spPr>
            <a:solidFill>
              <a:schemeClr val="bg2">
                <a:lumMod val="75000"/>
              </a:schemeClr>
            </a:solidFill>
            <a:ln w="9525">
              <a:solidFill>
                <a:schemeClr val="bg2">
                  <a:lumMod val="75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2">
                <a:lumMod val="75000"/>
              </a:schemeClr>
            </a:solidFill>
            <a:round/>
          </a:ln>
          <a:effectLst/>
        </c:spPr>
        <c:marker>
          <c:symbol val="diamond"/>
          <c:size val="5"/>
          <c:spPr>
            <a:solidFill>
              <a:schemeClr val="bg2">
                <a:lumMod val="75000"/>
              </a:schemeClr>
            </a:solidFill>
            <a:ln w="9525">
              <a:solidFill>
                <a:schemeClr val="bg2">
                  <a:lumMod val="75000"/>
                </a:schemeClr>
              </a:solidFill>
            </a:ln>
            <a:effectLst/>
          </c:spPr>
        </c:marker>
        <c:dLbl>
          <c:idx val="0"/>
          <c:layout>
            <c:manualLayout>
              <c:x val="-1.9089574155653505E-2"/>
              <c:y val="-3.9138943248532308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EA553B"/>
            </a:solidFill>
            <a:round/>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Helvetic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EA553B"/>
            </a:solidFill>
            <a:prstDash val="sysDot"/>
            <a:round/>
          </a:ln>
          <a:effectLst/>
        </c:spPr>
        <c:marker>
          <c:symbol val="square"/>
          <c:size val="5"/>
          <c:spPr>
            <a:solidFill>
              <a:schemeClr val="accent2"/>
            </a:solidFill>
            <a:ln w="9525">
              <a:solidFill>
                <a:schemeClr val="accent2"/>
              </a:solidFill>
            </a:ln>
            <a:effectLst/>
          </c:spPr>
        </c:marker>
      </c:pivotFmt>
    </c:pivotFmts>
    <c:plotArea>
      <c:layout>
        <c:manualLayout>
          <c:layoutTarget val="inner"/>
          <c:xMode val="edge"/>
          <c:yMode val="edge"/>
          <c:x val="4.7038434767477273E-2"/>
          <c:y val="0.11035240457956454"/>
          <c:w val="0.80890068299473616"/>
          <c:h val="0.77950413732530011"/>
        </c:manualLayout>
      </c:layout>
      <c:lineChart>
        <c:grouping val="standard"/>
        <c:varyColors val="0"/>
        <c:ser>
          <c:idx val="0"/>
          <c:order val="0"/>
          <c:tx>
            <c:strRef>
              <c:f>'Forecast Pivot'!$B$3</c:f>
              <c:strCache>
                <c:ptCount val="1"/>
                <c:pt idx="0">
                  <c:v>Actual</c:v>
                </c:pt>
              </c:strCache>
            </c:strRef>
          </c:tx>
          <c:spPr>
            <a:ln w="28575" cap="rnd">
              <a:solidFill>
                <a:schemeClr val="bg2">
                  <a:lumMod val="75000"/>
                </a:schemeClr>
              </a:solidFill>
              <a:round/>
            </a:ln>
            <a:effectLst/>
          </c:spPr>
          <c:marker>
            <c:symbol val="diamond"/>
            <c:size val="5"/>
            <c:spPr>
              <a:solidFill>
                <a:schemeClr val="bg2">
                  <a:lumMod val="75000"/>
                </a:schemeClr>
              </a:solidFill>
              <a:ln w="9525">
                <a:solidFill>
                  <a:schemeClr val="bg2">
                    <a:lumMod val="75000"/>
                  </a:schemeClr>
                </a:solidFill>
              </a:ln>
              <a:effectLst/>
            </c:spPr>
          </c:marker>
          <c:dPt>
            <c:idx val="3"/>
            <c:marker>
              <c:symbol val="diamond"/>
              <c:size val="5"/>
              <c:spPr>
                <a:solidFill>
                  <a:schemeClr val="bg2">
                    <a:lumMod val="75000"/>
                  </a:schemeClr>
                </a:solidFill>
                <a:ln w="9525">
                  <a:solidFill>
                    <a:schemeClr val="bg2">
                      <a:lumMod val="75000"/>
                    </a:schemeClr>
                  </a:solid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00-BD3F-C24A-B1E0-5ED726FFE937}"/>
              </c:ext>
            </c:extLst>
          </c:dPt>
          <c:dLbls>
            <c:dLbl>
              <c:idx val="3"/>
              <c:layout>
                <c:manualLayout>
                  <c:x val="-1.9089574155653505E-2"/>
                  <c:y val="-3.91389432485323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3F-C24A-B1E0-5ED726FFE937}"/>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Helveti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 Pivot'!$A$4:$A$12</c:f>
              <c:strCache>
                <c:ptCount val="8"/>
                <c:pt idx="0">
                  <c:v>2020</c:v>
                </c:pt>
                <c:pt idx="1">
                  <c:v>2021</c:v>
                </c:pt>
                <c:pt idx="2">
                  <c:v>2022</c:v>
                </c:pt>
                <c:pt idx="3">
                  <c:v>2023</c:v>
                </c:pt>
                <c:pt idx="4">
                  <c:v>2024</c:v>
                </c:pt>
                <c:pt idx="5">
                  <c:v>2025</c:v>
                </c:pt>
                <c:pt idx="6">
                  <c:v>2026</c:v>
                </c:pt>
                <c:pt idx="7">
                  <c:v>2027</c:v>
                </c:pt>
              </c:strCache>
            </c:strRef>
          </c:cat>
          <c:val>
            <c:numRef>
              <c:f>'Forecast Pivot'!$B$4:$B$12</c:f>
              <c:numCache>
                <c:formatCode>General</c:formatCode>
                <c:ptCount val="8"/>
                <c:pt idx="0">
                  <c:v>37.402999999999999</c:v>
                </c:pt>
                <c:pt idx="1">
                  <c:v>44.537999999999997</c:v>
                </c:pt>
                <c:pt idx="2">
                  <c:v>46.71</c:v>
                </c:pt>
                <c:pt idx="3">
                  <c:v>51.216999999999999</c:v>
                </c:pt>
                <c:pt idx="4">
                  <c:v>51.362000000000002</c:v>
                </c:pt>
                <c:pt idx="5">
                  <c:v>46.308999999999997</c:v>
                </c:pt>
              </c:numCache>
            </c:numRef>
          </c:val>
          <c:smooth val="0"/>
          <c:extLst>
            <c:ext xmlns:c16="http://schemas.microsoft.com/office/drawing/2014/chart" uri="{C3380CC4-5D6E-409C-BE32-E72D297353CC}">
              <c16:uniqueId val="{00000001-BD3F-C24A-B1E0-5ED726FFE937}"/>
            </c:ext>
          </c:extLst>
        </c:ser>
        <c:ser>
          <c:idx val="1"/>
          <c:order val="1"/>
          <c:tx>
            <c:strRef>
              <c:f>'Forecast Pivot'!$C$3</c:f>
              <c:strCache>
                <c:ptCount val="1"/>
                <c:pt idx="0">
                  <c:v>Forecast</c:v>
                </c:pt>
              </c:strCache>
            </c:strRef>
          </c:tx>
          <c:spPr>
            <a:ln w="28575" cap="rnd">
              <a:solidFill>
                <a:srgbClr val="EA553B"/>
              </a:solidFill>
              <a:round/>
            </a:ln>
            <a:effectLst/>
          </c:spPr>
          <c:marker>
            <c:symbol val="square"/>
            <c:size val="5"/>
            <c:spPr>
              <a:solidFill>
                <a:schemeClr val="accent2"/>
              </a:solidFill>
              <a:ln w="9525">
                <a:solidFill>
                  <a:schemeClr val="accent2"/>
                </a:solidFill>
              </a:ln>
              <a:effectLst/>
            </c:spPr>
          </c:marker>
          <c:dPt>
            <c:idx val="7"/>
            <c:marker>
              <c:symbol val="square"/>
              <c:size val="5"/>
              <c:spPr>
                <a:solidFill>
                  <a:schemeClr val="accent2"/>
                </a:solidFill>
                <a:ln w="9525">
                  <a:solidFill>
                    <a:schemeClr val="accent2"/>
                  </a:solidFill>
                </a:ln>
                <a:effectLst/>
              </c:spPr>
            </c:marker>
            <c:bubble3D val="0"/>
            <c:spPr>
              <a:ln w="28575" cap="rnd">
                <a:solidFill>
                  <a:srgbClr val="EA553B"/>
                </a:solidFill>
                <a:prstDash val="sysDot"/>
                <a:round/>
              </a:ln>
              <a:effectLst/>
            </c:spPr>
            <c:extLst>
              <c:ext xmlns:c16="http://schemas.microsoft.com/office/drawing/2014/chart" uri="{C3380CC4-5D6E-409C-BE32-E72D297353CC}">
                <c16:uniqueId val="{00000003-BD3F-C24A-B1E0-5ED726FFE937}"/>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Helveti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 Pivot'!$A$4:$A$12</c:f>
              <c:strCache>
                <c:ptCount val="8"/>
                <c:pt idx="0">
                  <c:v>2020</c:v>
                </c:pt>
                <c:pt idx="1">
                  <c:v>2021</c:v>
                </c:pt>
                <c:pt idx="2">
                  <c:v>2022</c:v>
                </c:pt>
                <c:pt idx="3">
                  <c:v>2023</c:v>
                </c:pt>
                <c:pt idx="4">
                  <c:v>2024</c:v>
                </c:pt>
                <c:pt idx="5">
                  <c:v>2025</c:v>
                </c:pt>
                <c:pt idx="6">
                  <c:v>2026</c:v>
                </c:pt>
                <c:pt idx="7">
                  <c:v>2027</c:v>
                </c:pt>
              </c:strCache>
            </c:strRef>
          </c:cat>
          <c:val>
            <c:numRef>
              <c:f>'Forecast Pivot'!$C$4:$C$12</c:f>
              <c:numCache>
                <c:formatCode>General</c:formatCode>
                <c:ptCount val="8"/>
                <c:pt idx="6">
                  <c:v>53.20739999999978</c:v>
                </c:pt>
                <c:pt idx="7">
                  <c:v>51.304799999999886</c:v>
                </c:pt>
              </c:numCache>
            </c:numRef>
          </c:val>
          <c:smooth val="0"/>
          <c:extLst>
            <c:ext xmlns:c16="http://schemas.microsoft.com/office/drawing/2014/chart" uri="{C3380CC4-5D6E-409C-BE32-E72D297353CC}">
              <c16:uniqueId val="{00000004-BD3F-C24A-B1E0-5ED726FFE937}"/>
            </c:ext>
          </c:extLst>
        </c:ser>
        <c:dLbls>
          <c:showLegendKey val="0"/>
          <c:showVal val="0"/>
          <c:showCatName val="0"/>
          <c:showSerName val="0"/>
          <c:showPercent val="0"/>
          <c:showBubbleSize val="0"/>
        </c:dLbls>
        <c:marker val="1"/>
        <c:smooth val="0"/>
        <c:axId val="1534669951"/>
        <c:axId val="1534682303"/>
      </c:lineChart>
      <c:catAx>
        <c:axId val="153466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Helvetica" pitchFamily="2" charset="0"/>
                <a:ea typeface="+mn-ea"/>
                <a:cs typeface="+mn-cs"/>
              </a:defRPr>
            </a:pPr>
            <a:endParaRPr lang="en-US"/>
          </a:p>
        </c:txPr>
        <c:crossAx val="1534682303"/>
        <c:crosses val="autoZero"/>
        <c:auto val="1"/>
        <c:lblAlgn val="ctr"/>
        <c:lblOffset val="100"/>
        <c:noMultiLvlLbl val="0"/>
      </c:catAx>
      <c:valAx>
        <c:axId val="1534682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Helvetica" pitchFamily="2" charset="0"/>
                    <a:ea typeface="+mn-ea"/>
                    <a:cs typeface="+mn-cs"/>
                  </a:defRPr>
                </a:pPr>
                <a:r>
                  <a:rPr lang="en-GB"/>
                  <a:t>Revenue (USD Billions)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Helvetica" pitchFamily="2"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Helvetica" pitchFamily="2" charset="0"/>
                <a:ea typeface="+mn-ea"/>
                <a:cs typeface="+mn-cs"/>
              </a:defRPr>
            </a:pPr>
            <a:endParaRPr lang="en-US"/>
          </a:p>
        </c:txPr>
        <c:crossAx val="1534669951"/>
        <c:crosses val="autoZero"/>
        <c:crossBetween val="between"/>
      </c:valAx>
      <c:spPr>
        <a:noFill/>
        <a:ln>
          <a:noFill/>
        </a:ln>
        <a:effectLst/>
      </c:spPr>
    </c:plotArea>
    <c:legend>
      <c:legendPos val="r"/>
      <c:layout>
        <c:manualLayout>
          <c:xMode val="edge"/>
          <c:yMode val="edge"/>
          <c:x val="0.88772360464610423"/>
          <c:y val="0.3388942478080651"/>
          <c:w val="0.11025634054030539"/>
          <c:h val="0.4169083316640215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Helveti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baseline="0">
          <a:latin typeface="Helvetica"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rich>
          <a:bodyPr spcFirstLastPara="1" vertOverflow="ellipsis" horzOverflow="overflow" wrap="square" lIns="0" tIns="0" rIns="0" bIns="0" anchor="ctr" anchorCtr="1"/>
          <a:lstStyle/>
          <a:p>
            <a:pPr algn="ctr" rtl="0">
              <a:defRPr sz="1400" baseline="0">
                <a:solidFill>
                  <a:schemeClr val="tx1"/>
                </a:solidFill>
                <a:latin typeface="Helvetica" pitchFamily="2" charset="0"/>
              </a:defRPr>
            </a:pPr>
            <a:r>
              <a:rPr lang="en-ZA" sz="1400" b="1" baseline="0">
                <a:solidFill>
                  <a:schemeClr val="tx1"/>
                </a:solidFill>
                <a:latin typeface="Helvetica" pitchFamily="2" charset="0"/>
              </a:rPr>
              <a:t>Drivers of Year-over-Year Net Income Change</a:t>
            </a:r>
            <a:endParaRPr lang="en-GB" sz="1400" b="1" i="0" u="none" strike="noStrike" baseline="0">
              <a:solidFill>
                <a:schemeClr val="tx1"/>
              </a:solidFill>
              <a:latin typeface="Helvetica" pitchFamily="2" charset="0"/>
            </a:endParaRPr>
          </a:p>
        </cx:rich>
      </cx:tx>
    </cx:title>
    <cx:plotArea>
      <cx:plotAreaRegion>
        <cx:series layoutId="waterfall" uniqueId="{6E7D214D-C53E-104C-846D-E06BE3CEFC80}">
          <cx:tx>
            <cx:txData>
              <cx:f>_xlchart.v1.7</cx:f>
              <cx:v>Amount</cx:v>
            </cx:txData>
          </cx:tx>
          <cx:dataPt idx="0">
            <cx:spPr>
              <a:solidFill>
                <a:srgbClr val="005147"/>
              </a:solidFill>
            </cx:spPr>
          </cx:dataPt>
          <cx:dataPt idx="1">
            <cx:spPr>
              <a:solidFill>
                <a:srgbClr val="0459B2"/>
              </a:solidFill>
            </cx:spPr>
          </cx:dataPt>
          <cx:dataPt idx="2">
            <cx:spPr>
              <a:solidFill>
                <a:srgbClr val="EA553B"/>
              </a:solidFill>
            </cx:spPr>
          </cx:dataPt>
          <cx:dataPt idx="3">
            <cx:spPr>
              <a:solidFill>
                <a:srgbClr val="0459B2"/>
              </a:solidFill>
            </cx:spPr>
          </cx:dataPt>
          <cx:dataPt idx="4">
            <cx:spPr>
              <a:solidFill>
                <a:srgbClr val="005147"/>
              </a:solidFill>
            </cx:spPr>
          </cx:dataPt>
          <cx:dataLabels pos="outEnd">
            <cx:txPr>
              <a:bodyPr vertOverflow="overflow" horzOverflow="overflow" wrap="square" lIns="0" tIns="0" rIns="0" bIns="0"/>
              <a:lstStyle/>
              <a:p>
                <a:pPr algn="ctr" rtl="0">
                  <a:defRPr sz="1400" b="0" i="0" baseline="0">
                    <a:solidFill>
                      <a:schemeClr val="tx1"/>
                    </a:solidFill>
                    <a:latin typeface="Helvetica" pitchFamily="2" charset="0"/>
                    <a:ea typeface="Aptos Narrow" panose="020B0004020202020204" pitchFamily="34" charset="0"/>
                    <a:cs typeface="Aptos Narrow" panose="020B0004020202020204" pitchFamily="34" charset="0"/>
                  </a:defRPr>
                </a:pPr>
                <a:endParaRPr lang="en-GB" sz="1400" baseline="0">
                  <a:solidFill>
                    <a:schemeClr val="tx1"/>
                  </a:solidFill>
                  <a:latin typeface="Helvetica" pitchFamily="2" charset="0"/>
                </a:endParaRPr>
              </a:p>
            </cx:txPr>
            <cx:visibility seriesName="0" categoryName="0" value="1"/>
          </cx:dataLabels>
          <cx:dataId val="0"/>
          <cx:layoutPr>
            <cx:subtotals>
              <cx:idx val="0"/>
              <cx:idx val="4"/>
            </cx:subtotals>
          </cx:layoutPr>
        </cx:series>
      </cx:plotAreaRegion>
      <cx:axis id="0">
        <cx:catScaling gapWidth="0.5"/>
        <cx:tickLabels/>
        <cx:txPr>
          <a:bodyPr vertOverflow="overflow" horzOverflow="overflow" wrap="square" lIns="0" tIns="0" rIns="0" bIns="0"/>
          <a:lstStyle/>
          <a:p>
            <a:pPr algn="ctr" rtl="0">
              <a:defRPr sz="1400" b="0" i="0" baseline="0">
                <a:solidFill>
                  <a:schemeClr val="tx1"/>
                </a:solidFill>
                <a:latin typeface="Helvetica" pitchFamily="2" charset="0"/>
                <a:ea typeface="Aptos Narrow" panose="020B0004020202020204" pitchFamily="34" charset="0"/>
                <a:cs typeface="Aptos Narrow" panose="020B0004020202020204" pitchFamily="34" charset="0"/>
              </a:defRPr>
            </a:pPr>
            <a:endParaRPr lang="en-GB" sz="1400" baseline="0">
              <a:solidFill>
                <a:schemeClr val="tx1"/>
              </a:solidFill>
              <a:latin typeface="Helvetica" pitchFamily="2" charset="0"/>
            </a:endParaRPr>
          </a:p>
        </cx:txPr>
      </cx:axis>
      <cx:axis id="1">
        <cx:valScaling/>
        <cx:title>
          <cx:tx>
            <cx:txData>
              <cx:v>USD Billions</cx:v>
            </cx:txData>
          </cx:tx>
          <cx:txPr>
            <a:bodyPr spcFirstLastPara="1" vertOverflow="ellipsis" horzOverflow="overflow" wrap="square" lIns="0" tIns="0" rIns="0" bIns="0" anchor="ctr" anchorCtr="1"/>
            <a:lstStyle/>
            <a:p>
              <a:pPr algn="ctr" rtl="0">
                <a:defRPr/>
              </a:pPr>
              <a:r>
                <a:rPr lang="en-GB" sz="900" b="0" i="0" u="none" strike="noStrike" baseline="0">
                  <a:solidFill>
                    <a:sysClr val="windowText" lastClr="000000">
                      <a:lumMod val="65000"/>
                      <a:lumOff val="35000"/>
                    </a:sysClr>
                  </a:solidFill>
                  <a:latin typeface="Aptos Narrow" panose="02110004020202020204"/>
                </a:rPr>
                <a:t>USD Billions</a:t>
              </a:r>
            </a:p>
          </cx:txPr>
        </cx:title>
        <cx:majorGridlines/>
        <cx:tickLabels/>
        <cx:txPr>
          <a:bodyPr vertOverflow="overflow" horzOverflow="overflow" wrap="square" lIns="0" tIns="0" rIns="0" bIns="0"/>
          <a:lstStyle/>
          <a:p>
            <a:pPr algn="ctr" rtl="0">
              <a:defRPr sz="1400" b="0" i="0" baseline="0">
                <a:solidFill>
                  <a:schemeClr val="tx1"/>
                </a:solidFill>
                <a:latin typeface="Helvetica" pitchFamily="2" charset="0"/>
                <a:ea typeface="Aptos Narrow" panose="020B0004020202020204" pitchFamily="34" charset="0"/>
                <a:cs typeface="Aptos Narrow" panose="020B0004020202020204" pitchFamily="34" charset="0"/>
              </a:defRPr>
            </a:pPr>
            <a:endParaRPr lang="en-GB" sz="1400" baseline="0">
              <a:solidFill>
                <a:schemeClr val="tx1"/>
              </a:solidFill>
              <a:latin typeface="Helvetica" pitchFamily="2" charset="0"/>
            </a:endParaRPr>
          </a:p>
        </cx:txPr>
      </cx:axis>
    </cx:plotArea>
    <cx:legend pos="t" align="ctr" overlay="0">
      <cx:txPr>
        <a:bodyPr vertOverflow="overflow" horzOverflow="overflow" wrap="square" lIns="0" tIns="0" rIns="0" bIns="0"/>
        <a:lstStyle/>
        <a:p>
          <a:pPr algn="ctr" rtl="0">
            <a:defRPr sz="1400" b="0" i="0" baseline="0">
              <a:solidFill>
                <a:schemeClr val="tx1"/>
              </a:solidFill>
              <a:latin typeface="Helvetica" pitchFamily="2" charset="0"/>
              <a:ea typeface="Aptos Narrow" panose="020B0004020202020204" pitchFamily="34" charset="0"/>
              <a:cs typeface="Aptos Narrow" panose="020B0004020202020204" pitchFamily="34" charset="0"/>
            </a:defRPr>
          </a:pPr>
          <a:endParaRPr lang="en-GB" sz="1400" baseline="0">
            <a:solidFill>
              <a:schemeClr val="tx1"/>
            </a:solidFill>
            <a:latin typeface="Helvetica" pitchFamily="2" charset="0"/>
          </a:endParaRPr>
        </a:p>
      </cx:txPr>
    </cx:legend>
  </cx:chart>
  <cx:spPr>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microsoft.com/office/2014/relationships/chartEx" Target="../charts/chartEx1.xml"/><Relationship Id="rId4"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355953</xdr:colOff>
      <xdr:row>0</xdr:row>
      <xdr:rowOff>148695</xdr:rowOff>
    </xdr:from>
    <xdr:to>
      <xdr:col>1</xdr:col>
      <xdr:colOff>746830</xdr:colOff>
      <xdr:row>4</xdr:row>
      <xdr:rowOff>40216</xdr:rowOff>
    </xdr:to>
    <xdr:pic>
      <xdr:nvPicPr>
        <xdr:cNvPr id="3" name="Picture 2">
          <a:extLst>
            <a:ext uri="{FF2B5EF4-FFF2-40B4-BE49-F238E27FC236}">
              <a16:creationId xmlns:a16="http://schemas.microsoft.com/office/drawing/2014/main" id="{7D9C22F9-35FF-1F44-B3A0-D2B47262AB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953" y="148695"/>
          <a:ext cx="1216377" cy="717021"/>
        </a:xfrm>
        <a:prstGeom prst="rect">
          <a:avLst/>
        </a:prstGeom>
      </xdr:spPr>
    </xdr:pic>
    <xdr:clientData/>
  </xdr:twoCellAnchor>
  <xdr:twoCellAnchor>
    <xdr:from>
      <xdr:col>10</xdr:col>
      <xdr:colOff>698500</xdr:colOff>
      <xdr:row>0</xdr:row>
      <xdr:rowOff>0</xdr:rowOff>
    </xdr:from>
    <xdr:to>
      <xdr:col>15</xdr:col>
      <xdr:colOff>571500</xdr:colOff>
      <xdr:row>3</xdr:row>
      <xdr:rowOff>0</xdr:rowOff>
    </xdr:to>
    <xdr:sp macro="" textlink="">
      <xdr:nvSpPr>
        <xdr:cNvPr id="4" name="TextBox 3">
          <a:extLst>
            <a:ext uri="{FF2B5EF4-FFF2-40B4-BE49-F238E27FC236}">
              <a16:creationId xmlns:a16="http://schemas.microsoft.com/office/drawing/2014/main" id="{064BF2E6-36F7-F6D8-B204-F66B97E5AF46}"/>
            </a:ext>
          </a:extLst>
        </xdr:cNvPr>
        <xdr:cNvSpPr txBox="1"/>
      </xdr:nvSpPr>
      <xdr:spPr>
        <a:xfrm>
          <a:off x="8953500" y="0"/>
          <a:ext cx="4000500" cy="619125"/>
        </a:xfrm>
        <a:prstGeom prst="rect">
          <a:avLst/>
        </a:prstGeom>
        <a:solidFill>
          <a:srgbClr val="E5E5E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i="0">
              <a:latin typeface="FUTURA CONDENSED MEDIUM" panose="020B0602020204020303" pitchFamily="34" charset="-79"/>
              <a:cs typeface="FUTURA CONDENSED MEDIUM" panose="020B0602020204020303" pitchFamily="34" charset="-79"/>
            </a:rPr>
            <a:t>FINANCIAL</a:t>
          </a:r>
          <a:r>
            <a:rPr lang="en-GB" sz="2400" b="1" i="0" baseline="0">
              <a:latin typeface="FUTURA CONDENSED MEDIUM" panose="020B0602020204020303" pitchFamily="34" charset="-79"/>
              <a:cs typeface="FUTURA CONDENSED MEDIUM" panose="020B0602020204020303" pitchFamily="34" charset="-79"/>
            </a:rPr>
            <a:t> STATEMENTS ANALYSIS: NIKE</a:t>
          </a:r>
          <a:endParaRPr lang="en-GB" sz="2400" b="1" i="0">
            <a:latin typeface="Futura Condensed Medium" panose="020B0602020204020303" pitchFamily="34" charset="-79"/>
            <a:cs typeface="Futura Condensed Medium" panose="020B0602020204020303" pitchFamily="34" charset="-79"/>
          </a:endParaRPr>
        </a:p>
      </xdr:txBody>
    </xdr:sp>
    <xdr:clientData/>
  </xdr:twoCellAnchor>
  <xdr:twoCellAnchor>
    <xdr:from>
      <xdr:col>3</xdr:col>
      <xdr:colOff>510115</xdr:colOff>
      <xdr:row>17</xdr:row>
      <xdr:rowOff>100541</xdr:rowOff>
    </xdr:from>
    <xdr:to>
      <xdr:col>11</xdr:col>
      <xdr:colOff>74082</xdr:colOff>
      <xdr:row>40</xdr:row>
      <xdr:rowOff>117474</xdr:rowOff>
    </xdr:to>
    <xdr:grpSp>
      <xdr:nvGrpSpPr>
        <xdr:cNvPr id="16" name="Group 15">
          <a:extLst>
            <a:ext uri="{FF2B5EF4-FFF2-40B4-BE49-F238E27FC236}">
              <a16:creationId xmlns:a16="http://schemas.microsoft.com/office/drawing/2014/main" id="{DB1921D3-C6A3-3E6B-E877-E668162AE825}"/>
            </a:ext>
          </a:extLst>
        </xdr:cNvPr>
        <xdr:cNvGrpSpPr/>
      </xdr:nvGrpSpPr>
      <xdr:grpSpPr>
        <a:xfrm>
          <a:off x="3013829" y="3493255"/>
          <a:ext cx="6240539" cy="4607076"/>
          <a:chOff x="3589865" y="3593041"/>
          <a:chExt cx="6167967" cy="4763558"/>
        </a:xfrm>
      </xdr:grpSpPr>
      <xdr:sp macro="" textlink="">
        <xdr:nvSpPr>
          <xdr:cNvPr id="10" name="Rounded Rectangle 9">
            <a:extLst>
              <a:ext uri="{FF2B5EF4-FFF2-40B4-BE49-F238E27FC236}">
                <a16:creationId xmlns:a16="http://schemas.microsoft.com/office/drawing/2014/main" id="{54DFB119-CDEA-5BFD-2FF1-BE14C880EFD0}"/>
              </a:ext>
            </a:extLst>
          </xdr:cNvPr>
          <xdr:cNvSpPr/>
        </xdr:nvSpPr>
        <xdr:spPr>
          <a:xfrm>
            <a:off x="3589865" y="3593041"/>
            <a:ext cx="6167967" cy="4763558"/>
          </a:xfrm>
          <a:prstGeom prst="roundRect">
            <a:avLst/>
          </a:prstGeom>
          <a:solidFill>
            <a:srgbClr val="FFFFFF"/>
          </a:solidFill>
          <a:ln>
            <a:solidFill>
              <a:srgbClr val="EA55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1" name="Chart 10">
            <a:extLst>
              <a:ext uri="{FF2B5EF4-FFF2-40B4-BE49-F238E27FC236}">
                <a16:creationId xmlns:a16="http://schemas.microsoft.com/office/drawing/2014/main" id="{89647073-6AD1-5C45-AF04-27497312590C}"/>
              </a:ext>
            </a:extLst>
          </xdr:cNvPr>
          <xdr:cNvGraphicFramePr>
            <a:graphicFrameLocks/>
          </xdr:cNvGraphicFramePr>
        </xdr:nvGraphicFramePr>
        <xdr:xfrm>
          <a:off x="4076699" y="4515907"/>
          <a:ext cx="5257799" cy="3651251"/>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graphicFrame macro="">
            <xdr:nvGraphicFramePr>
              <xdr:cNvPr id="12" name="Entity">
                <a:extLst>
                  <a:ext uri="{FF2B5EF4-FFF2-40B4-BE49-F238E27FC236}">
                    <a16:creationId xmlns:a16="http://schemas.microsoft.com/office/drawing/2014/main" id="{66338817-5E6C-C54C-BB93-13A49B83F9DB}"/>
                  </a:ext>
                </a:extLst>
              </xdr:cNvPr>
              <xdr:cNvGraphicFramePr/>
            </xdr:nvGraphicFramePr>
            <xdr:xfrm>
              <a:off x="4063999" y="3850214"/>
              <a:ext cx="5271219" cy="436036"/>
            </xdr:xfrm>
            <a:graphic>
              <a:graphicData uri="http://schemas.microsoft.com/office/drawing/2010/slicer">
                <sle:slicer xmlns:sle="http://schemas.microsoft.com/office/drawing/2010/slicer" name="Entity"/>
              </a:graphicData>
            </a:graphic>
          </xdr:graphicFrame>
        </mc:Choice>
        <mc:Fallback>
          <xdr:sp macro="" textlink="">
            <xdr:nvSpPr>
              <xdr:cNvPr id="0" name=""/>
              <xdr:cNvSpPr>
                <a:spLocks noTextEdit="1"/>
              </xdr:cNvSpPr>
            </xdr:nvSpPr>
            <xdr:spPr>
              <a:xfrm>
                <a:off x="3493542" y="3741980"/>
                <a:ext cx="5333240" cy="4217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391581</xdr:colOff>
      <xdr:row>5</xdr:row>
      <xdr:rowOff>111125</xdr:rowOff>
    </xdr:from>
    <xdr:to>
      <xdr:col>7</xdr:col>
      <xdr:colOff>47625</xdr:colOff>
      <xdr:row>16</xdr:row>
      <xdr:rowOff>82549</xdr:rowOff>
    </xdr:to>
    <xdr:sp macro="" textlink="">
      <xdr:nvSpPr>
        <xdr:cNvPr id="5" name="Rounded Rectangle 4">
          <a:extLst>
            <a:ext uri="{FF2B5EF4-FFF2-40B4-BE49-F238E27FC236}">
              <a16:creationId xmlns:a16="http://schemas.microsoft.com/office/drawing/2014/main" id="{BB3E25A0-4C9B-EC31-2472-2B989851BD24}"/>
            </a:ext>
          </a:extLst>
        </xdr:cNvPr>
        <xdr:cNvSpPr/>
      </xdr:nvSpPr>
      <xdr:spPr>
        <a:xfrm>
          <a:off x="2868081" y="1143000"/>
          <a:ext cx="2958044" cy="2241549"/>
        </a:xfrm>
        <a:prstGeom prst="roundRect">
          <a:avLst/>
        </a:prstGeom>
        <a:solidFill>
          <a:srgbClr val="FFFFFF"/>
        </a:solidFill>
        <a:ln>
          <a:solidFill>
            <a:srgbClr val="EA55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4</xdr:col>
      <xdr:colOff>20653</xdr:colOff>
      <xdr:row>6</xdr:row>
      <xdr:rowOff>31176</xdr:rowOff>
    </xdr:from>
    <xdr:to>
      <xdr:col>6</xdr:col>
      <xdr:colOff>232114</xdr:colOff>
      <xdr:row>9</xdr:row>
      <xdr:rowOff>174624</xdr:rowOff>
    </xdr:to>
    <xdr:sp macro="" textlink="">
      <xdr:nvSpPr>
        <xdr:cNvPr id="13" name="TextBox 12">
          <a:extLst>
            <a:ext uri="{FF2B5EF4-FFF2-40B4-BE49-F238E27FC236}">
              <a16:creationId xmlns:a16="http://schemas.microsoft.com/office/drawing/2014/main" id="{3D48B031-3B47-4ECA-D1C3-AE409426DB59}"/>
            </a:ext>
          </a:extLst>
        </xdr:cNvPr>
        <xdr:cNvSpPr txBox="1"/>
      </xdr:nvSpPr>
      <xdr:spPr>
        <a:xfrm>
          <a:off x="3322653" y="1269426"/>
          <a:ext cx="1862461" cy="7625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latin typeface="Helvetica" pitchFamily="2" charset="0"/>
            </a:rPr>
            <a:t>Return</a:t>
          </a:r>
          <a:r>
            <a:rPr lang="en-GB" sz="1600" b="1" baseline="0">
              <a:latin typeface="Helvetica" pitchFamily="2" charset="0"/>
            </a:rPr>
            <a:t> On Equity (ROE)</a:t>
          </a:r>
        </a:p>
      </xdr:txBody>
    </xdr:sp>
    <xdr:clientData/>
  </xdr:twoCellAnchor>
  <xdr:twoCellAnchor>
    <xdr:from>
      <xdr:col>7</xdr:col>
      <xdr:colOff>228222</xdr:colOff>
      <xdr:row>5</xdr:row>
      <xdr:rowOff>119065</xdr:rowOff>
    </xdr:from>
    <xdr:to>
      <xdr:col>10</xdr:col>
      <xdr:colOff>619662</xdr:colOff>
      <xdr:row>16</xdr:row>
      <xdr:rowOff>38101</xdr:rowOff>
    </xdr:to>
    <xdr:grpSp>
      <xdr:nvGrpSpPr>
        <xdr:cNvPr id="21" name="Group 20">
          <a:extLst>
            <a:ext uri="{FF2B5EF4-FFF2-40B4-BE49-F238E27FC236}">
              <a16:creationId xmlns:a16="http://schemas.microsoft.com/office/drawing/2014/main" id="{6F36887E-50EF-F276-B644-D9CB211FB596}"/>
            </a:ext>
          </a:extLst>
        </xdr:cNvPr>
        <xdr:cNvGrpSpPr/>
      </xdr:nvGrpSpPr>
      <xdr:grpSpPr>
        <a:xfrm>
          <a:off x="6070222" y="1116922"/>
          <a:ext cx="2895154" cy="2114322"/>
          <a:chOff x="6589183" y="1001183"/>
          <a:chExt cx="2175324" cy="1857375"/>
        </a:xfrm>
      </xdr:grpSpPr>
      <xdr:sp macro="" textlink="">
        <xdr:nvSpPr>
          <xdr:cNvPr id="9" name="Rounded Rectangle 8">
            <a:extLst>
              <a:ext uri="{FF2B5EF4-FFF2-40B4-BE49-F238E27FC236}">
                <a16:creationId xmlns:a16="http://schemas.microsoft.com/office/drawing/2014/main" id="{5272850A-B538-724A-A2E8-668D1E141C1C}"/>
              </a:ext>
            </a:extLst>
          </xdr:cNvPr>
          <xdr:cNvSpPr/>
        </xdr:nvSpPr>
        <xdr:spPr>
          <a:xfrm>
            <a:off x="6589183" y="1001183"/>
            <a:ext cx="2175324" cy="1857375"/>
          </a:xfrm>
          <a:prstGeom prst="roundRect">
            <a:avLst/>
          </a:prstGeom>
          <a:solidFill>
            <a:srgbClr val="FFFFFF"/>
          </a:solidFill>
          <a:ln>
            <a:solidFill>
              <a:srgbClr val="EA55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TextBox 16">
            <a:extLst>
              <a:ext uri="{FF2B5EF4-FFF2-40B4-BE49-F238E27FC236}">
                <a16:creationId xmlns:a16="http://schemas.microsoft.com/office/drawing/2014/main" id="{FBD9EAA6-FB7F-0DD3-D303-7DCEDAA61D79}"/>
              </a:ext>
            </a:extLst>
          </xdr:cNvPr>
          <xdr:cNvSpPr txBox="1"/>
        </xdr:nvSpPr>
        <xdr:spPr>
          <a:xfrm>
            <a:off x="6706918" y="1209950"/>
            <a:ext cx="1857375" cy="4165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baseline="0">
                <a:latin typeface="Helvetica" pitchFamily="2" charset="0"/>
              </a:rPr>
              <a:t>Operating Margin %</a:t>
            </a:r>
          </a:p>
          <a:p>
            <a:pPr algn="ctr"/>
            <a:endParaRPr lang="en-GB" sz="1200" b="1">
              <a:latin typeface="Helvetica" pitchFamily="2" charset="0"/>
            </a:endParaRPr>
          </a:p>
        </xdr:txBody>
      </xdr:sp>
    </xdr:grpSp>
    <xdr:clientData/>
  </xdr:twoCellAnchor>
  <xdr:twoCellAnchor>
    <xdr:from>
      <xdr:col>10</xdr:col>
      <xdr:colOff>758517</xdr:colOff>
      <xdr:row>5</xdr:row>
      <xdr:rowOff>87315</xdr:rowOff>
    </xdr:from>
    <xdr:to>
      <xdr:col>14</xdr:col>
      <xdr:colOff>330843</xdr:colOff>
      <xdr:row>16</xdr:row>
      <xdr:rowOff>6351</xdr:rowOff>
    </xdr:to>
    <xdr:grpSp>
      <xdr:nvGrpSpPr>
        <xdr:cNvPr id="22" name="Group 21">
          <a:extLst>
            <a:ext uri="{FF2B5EF4-FFF2-40B4-BE49-F238E27FC236}">
              <a16:creationId xmlns:a16="http://schemas.microsoft.com/office/drawing/2014/main" id="{A1FB5B0C-5EE3-5D78-B808-D5B1916BA5CA}"/>
            </a:ext>
          </a:extLst>
        </xdr:cNvPr>
        <xdr:cNvGrpSpPr/>
      </xdr:nvGrpSpPr>
      <xdr:grpSpPr>
        <a:xfrm>
          <a:off x="9104231" y="1085172"/>
          <a:ext cx="2910612" cy="2114322"/>
          <a:chOff x="9175624" y="943074"/>
          <a:chExt cx="2180168" cy="1857375"/>
        </a:xfrm>
      </xdr:grpSpPr>
      <xdr:sp macro="" textlink="">
        <xdr:nvSpPr>
          <xdr:cNvPr id="8" name="Rounded Rectangle 7">
            <a:extLst>
              <a:ext uri="{FF2B5EF4-FFF2-40B4-BE49-F238E27FC236}">
                <a16:creationId xmlns:a16="http://schemas.microsoft.com/office/drawing/2014/main" id="{6B683008-CE04-1D4C-8476-0090CBE451F4}"/>
              </a:ext>
            </a:extLst>
          </xdr:cNvPr>
          <xdr:cNvSpPr/>
        </xdr:nvSpPr>
        <xdr:spPr>
          <a:xfrm>
            <a:off x="9175624" y="943074"/>
            <a:ext cx="2180168" cy="1857375"/>
          </a:xfrm>
          <a:prstGeom prst="roundRect">
            <a:avLst/>
          </a:prstGeom>
          <a:solidFill>
            <a:srgbClr val="FFFFFF"/>
          </a:solidFill>
          <a:ln>
            <a:solidFill>
              <a:srgbClr val="EA55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8" name="TextBox 17">
            <a:extLst>
              <a:ext uri="{FF2B5EF4-FFF2-40B4-BE49-F238E27FC236}">
                <a16:creationId xmlns:a16="http://schemas.microsoft.com/office/drawing/2014/main" id="{02763D69-BEF8-AB1D-C734-B136651CA971}"/>
              </a:ext>
            </a:extLst>
          </xdr:cNvPr>
          <xdr:cNvSpPr txBox="1"/>
        </xdr:nvSpPr>
        <xdr:spPr>
          <a:xfrm>
            <a:off x="9435316" y="1013692"/>
            <a:ext cx="1682750" cy="730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latin typeface="Helvetica" pitchFamily="2" charset="0"/>
              </a:rPr>
              <a:t>Free Cash Flow (in USD</a:t>
            </a:r>
            <a:r>
              <a:rPr lang="en-GB" sz="1600" b="1" baseline="0">
                <a:latin typeface="Helvetica" pitchFamily="2" charset="0"/>
              </a:rPr>
              <a:t> Billions</a:t>
            </a:r>
            <a:r>
              <a:rPr lang="en-GB" sz="1600" b="1">
                <a:latin typeface="Helvetica" pitchFamily="2" charset="0"/>
              </a:rPr>
              <a:t>)</a:t>
            </a:r>
          </a:p>
        </xdr:txBody>
      </xdr:sp>
    </xdr:grpSp>
    <xdr:clientData/>
  </xdr:twoCellAnchor>
  <xdr:twoCellAnchor>
    <xdr:from>
      <xdr:col>14</xdr:col>
      <xdr:colOff>484032</xdr:colOff>
      <xdr:row>5</xdr:row>
      <xdr:rowOff>39690</xdr:rowOff>
    </xdr:from>
    <xdr:to>
      <xdr:col>18</xdr:col>
      <xdr:colOff>56358</xdr:colOff>
      <xdr:row>15</xdr:row>
      <xdr:rowOff>165101</xdr:rowOff>
    </xdr:to>
    <xdr:grpSp>
      <xdr:nvGrpSpPr>
        <xdr:cNvPr id="23" name="Group 22">
          <a:extLst>
            <a:ext uri="{FF2B5EF4-FFF2-40B4-BE49-F238E27FC236}">
              <a16:creationId xmlns:a16="http://schemas.microsoft.com/office/drawing/2014/main" id="{D829CEE6-D335-65E4-888E-27A87C8CDF38}"/>
            </a:ext>
          </a:extLst>
        </xdr:cNvPr>
        <xdr:cNvGrpSpPr/>
      </xdr:nvGrpSpPr>
      <xdr:grpSpPr>
        <a:xfrm>
          <a:off x="12168032" y="1037547"/>
          <a:ext cx="2910612" cy="2121125"/>
          <a:chOff x="13027023" y="949325"/>
          <a:chExt cx="2180168" cy="1857375"/>
        </a:xfrm>
      </xdr:grpSpPr>
      <xdr:sp macro="" textlink="">
        <xdr:nvSpPr>
          <xdr:cNvPr id="7" name="Rounded Rectangle 6">
            <a:extLst>
              <a:ext uri="{FF2B5EF4-FFF2-40B4-BE49-F238E27FC236}">
                <a16:creationId xmlns:a16="http://schemas.microsoft.com/office/drawing/2014/main" id="{47EBED66-AA46-AD4D-9B3C-AC9C801A21B4}"/>
              </a:ext>
            </a:extLst>
          </xdr:cNvPr>
          <xdr:cNvSpPr/>
        </xdr:nvSpPr>
        <xdr:spPr>
          <a:xfrm>
            <a:off x="13027023" y="949325"/>
            <a:ext cx="2180168" cy="1857375"/>
          </a:xfrm>
          <a:prstGeom prst="roundRect">
            <a:avLst/>
          </a:prstGeom>
          <a:solidFill>
            <a:srgbClr val="FFFFFF"/>
          </a:solidFill>
          <a:ln>
            <a:solidFill>
              <a:srgbClr val="EA55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9" name="TextBox 18">
            <a:extLst>
              <a:ext uri="{FF2B5EF4-FFF2-40B4-BE49-F238E27FC236}">
                <a16:creationId xmlns:a16="http://schemas.microsoft.com/office/drawing/2014/main" id="{B7AA538A-0471-72F6-930E-6454C7973E95}"/>
              </a:ext>
            </a:extLst>
          </xdr:cNvPr>
          <xdr:cNvSpPr txBox="1"/>
        </xdr:nvSpPr>
        <xdr:spPr>
          <a:xfrm>
            <a:off x="13207461" y="1244501"/>
            <a:ext cx="17938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latin typeface="Helvetica" pitchFamily="2" charset="0"/>
              </a:rPr>
              <a:t>Debt-To-Equity</a:t>
            </a:r>
          </a:p>
        </xdr:txBody>
      </xdr:sp>
    </xdr:grpSp>
    <xdr:clientData/>
  </xdr:twoCellAnchor>
  <xdr:twoCellAnchor>
    <xdr:from>
      <xdr:col>18</xdr:col>
      <xdr:colOff>622297</xdr:colOff>
      <xdr:row>5</xdr:row>
      <xdr:rowOff>7940</xdr:rowOff>
    </xdr:from>
    <xdr:to>
      <xdr:col>21</xdr:col>
      <xdr:colOff>1020123</xdr:colOff>
      <xdr:row>15</xdr:row>
      <xdr:rowOff>133351</xdr:rowOff>
    </xdr:to>
    <xdr:grpSp>
      <xdr:nvGrpSpPr>
        <xdr:cNvPr id="24" name="Group 23">
          <a:extLst>
            <a:ext uri="{FF2B5EF4-FFF2-40B4-BE49-F238E27FC236}">
              <a16:creationId xmlns:a16="http://schemas.microsoft.com/office/drawing/2014/main" id="{F8DB7D51-3D9A-420D-8885-8EB6C6A6CBB7}"/>
            </a:ext>
          </a:extLst>
        </xdr:cNvPr>
        <xdr:cNvGrpSpPr/>
      </xdr:nvGrpSpPr>
      <xdr:grpSpPr>
        <a:xfrm>
          <a:off x="15644583" y="1005797"/>
          <a:ext cx="2901540" cy="2121125"/>
          <a:chOff x="15925798" y="996950"/>
          <a:chExt cx="2180168" cy="1857375"/>
        </a:xfrm>
      </xdr:grpSpPr>
      <xdr:sp macro="" textlink="">
        <xdr:nvSpPr>
          <xdr:cNvPr id="6" name="Rounded Rectangle 5">
            <a:extLst>
              <a:ext uri="{FF2B5EF4-FFF2-40B4-BE49-F238E27FC236}">
                <a16:creationId xmlns:a16="http://schemas.microsoft.com/office/drawing/2014/main" id="{26BD730D-236B-E443-8666-4AD99CF6FA1C}"/>
              </a:ext>
            </a:extLst>
          </xdr:cNvPr>
          <xdr:cNvSpPr/>
        </xdr:nvSpPr>
        <xdr:spPr>
          <a:xfrm>
            <a:off x="15925798" y="996950"/>
            <a:ext cx="2180168" cy="1857375"/>
          </a:xfrm>
          <a:prstGeom prst="roundRect">
            <a:avLst/>
          </a:prstGeom>
          <a:solidFill>
            <a:srgbClr val="FFFFFF"/>
          </a:solidFill>
          <a:ln>
            <a:solidFill>
              <a:srgbClr val="EA55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0" name="TextBox 19">
            <a:extLst>
              <a:ext uri="{FF2B5EF4-FFF2-40B4-BE49-F238E27FC236}">
                <a16:creationId xmlns:a16="http://schemas.microsoft.com/office/drawing/2014/main" id="{BAE2B0C8-B1AD-63B5-BB6D-7D58B87EE086}"/>
              </a:ext>
            </a:extLst>
          </xdr:cNvPr>
          <xdr:cNvSpPr txBox="1"/>
        </xdr:nvSpPr>
        <xdr:spPr>
          <a:xfrm>
            <a:off x="16101624" y="1272406"/>
            <a:ext cx="19050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latin typeface="Helvetica" pitchFamily="2" charset="0"/>
              </a:rPr>
              <a:t>Cash</a:t>
            </a:r>
            <a:r>
              <a:rPr lang="en-GB" sz="1600" b="1" baseline="0">
                <a:latin typeface="Helvetica" pitchFamily="2" charset="0"/>
              </a:rPr>
              <a:t> Flow Quality</a:t>
            </a:r>
            <a:endParaRPr lang="en-GB" sz="1600" b="1">
              <a:latin typeface="Helvetica" pitchFamily="2" charset="0"/>
            </a:endParaRPr>
          </a:p>
        </xdr:txBody>
      </xdr:sp>
    </xdr:grpSp>
    <xdr:clientData/>
  </xdr:twoCellAnchor>
  <xdr:twoCellAnchor>
    <xdr:from>
      <xdr:col>4</xdr:col>
      <xdr:colOff>63500</xdr:colOff>
      <xdr:row>10</xdr:row>
      <xdr:rowOff>23812</xdr:rowOff>
    </xdr:from>
    <xdr:to>
      <xdr:col>6</xdr:col>
      <xdr:colOff>238125</xdr:colOff>
      <xdr:row>15</xdr:row>
      <xdr:rowOff>7937</xdr:rowOff>
    </xdr:to>
    <xdr:sp macro="" textlink="KPIs!F8">
      <xdr:nvSpPr>
        <xdr:cNvPr id="27" name="TextBox 26">
          <a:extLst>
            <a:ext uri="{FF2B5EF4-FFF2-40B4-BE49-F238E27FC236}">
              <a16:creationId xmlns:a16="http://schemas.microsoft.com/office/drawing/2014/main" id="{5B54674E-20F0-9D19-0283-74C744A7E713}"/>
            </a:ext>
          </a:extLst>
        </xdr:cNvPr>
        <xdr:cNvSpPr txBox="1"/>
      </xdr:nvSpPr>
      <xdr:spPr>
        <a:xfrm>
          <a:off x="3365500" y="2087562"/>
          <a:ext cx="1825625" cy="1016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D2D0A2-DF50-A046-9FF3-592B07ED74D7}" type="TxLink">
            <a:rPr lang="en-US" sz="3600" b="0" i="0" u="none" strike="noStrike">
              <a:solidFill>
                <a:srgbClr val="000000"/>
              </a:solidFill>
              <a:latin typeface="Aptos Narrow"/>
            </a:rPr>
            <a:pPr algn="ctr"/>
            <a:t>34,63%</a:t>
          </a:fld>
          <a:endParaRPr lang="en-GB" sz="3600"/>
        </a:p>
      </xdr:txBody>
    </xdr:sp>
    <xdr:clientData/>
  </xdr:twoCellAnchor>
  <xdr:twoCellAnchor>
    <xdr:from>
      <xdr:col>7</xdr:col>
      <xdr:colOff>718344</xdr:colOff>
      <xdr:row>10</xdr:row>
      <xdr:rowOff>63500</xdr:rowOff>
    </xdr:from>
    <xdr:to>
      <xdr:col>10</xdr:col>
      <xdr:colOff>35719</xdr:colOff>
      <xdr:row>14</xdr:row>
      <xdr:rowOff>174625</xdr:rowOff>
    </xdr:to>
    <xdr:sp macro="" textlink="KPIs!D8">
      <xdr:nvSpPr>
        <xdr:cNvPr id="28" name="TextBox 27">
          <a:extLst>
            <a:ext uri="{FF2B5EF4-FFF2-40B4-BE49-F238E27FC236}">
              <a16:creationId xmlns:a16="http://schemas.microsoft.com/office/drawing/2014/main" id="{2DC082FD-4EEF-5001-11AA-6EC55DB81BB3}"/>
            </a:ext>
          </a:extLst>
        </xdr:cNvPr>
        <xdr:cNvSpPr txBox="1"/>
      </xdr:nvSpPr>
      <xdr:spPr>
        <a:xfrm>
          <a:off x="6496844" y="2127250"/>
          <a:ext cx="1793875" cy="936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1C733F-3D34-9448-9540-7ABF422C6093}" type="TxLink">
            <a:rPr lang="en-US" sz="3600" b="0" i="0" u="none" strike="noStrike">
              <a:solidFill>
                <a:srgbClr val="000000"/>
              </a:solidFill>
              <a:latin typeface="Aptos Narrow"/>
            </a:rPr>
            <a:pPr algn="ctr"/>
            <a:t>11,55%</a:t>
          </a:fld>
          <a:endParaRPr lang="en-GB" sz="3600"/>
        </a:p>
      </xdr:txBody>
    </xdr:sp>
    <xdr:clientData/>
  </xdr:twoCellAnchor>
  <xdr:twoCellAnchor>
    <xdr:from>
      <xdr:col>11</xdr:col>
      <xdr:colOff>246063</xdr:colOff>
      <xdr:row>9</xdr:row>
      <xdr:rowOff>190500</xdr:rowOff>
    </xdr:from>
    <xdr:to>
      <xdr:col>13</xdr:col>
      <xdr:colOff>500063</xdr:colOff>
      <xdr:row>15</xdr:row>
      <xdr:rowOff>47625</xdr:rowOff>
    </xdr:to>
    <xdr:sp macro="" textlink="KPIs!A8">
      <xdr:nvSpPr>
        <xdr:cNvPr id="30" name="TextBox 29">
          <a:extLst>
            <a:ext uri="{FF2B5EF4-FFF2-40B4-BE49-F238E27FC236}">
              <a16:creationId xmlns:a16="http://schemas.microsoft.com/office/drawing/2014/main" id="{3F1E16FF-C74C-E49E-4D0C-F58F43EA2D06}"/>
            </a:ext>
          </a:extLst>
        </xdr:cNvPr>
        <xdr:cNvSpPr txBox="1"/>
      </xdr:nvSpPr>
      <xdr:spPr>
        <a:xfrm>
          <a:off x="9326563" y="2047875"/>
          <a:ext cx="1905000"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30F10C-8C49-CB40-AB5C-DC01E1B612B2}" type="TxLink">
            <a:rPr lang="en-US" sz="3600" b="0" i="0" u="none" strike="noStrike">
              <a:solidFill>
                <a:srgbClr val="000000"/>
              </a:solidFill>
              <a:latin typeface="Aptos Narrow"/>
            </a:rPr>
            <a:pPr algn="ctr"/>
            <a:t>4,872</a:t>
          </a:fld>
          <a:endParaRPr lang="en-GB" sz="3600"/>
        </a:p>
      </xdr:txBody>
    </xdr:sp>
    <xdr:clientData/>
  </xdr:twoCellAnchor>
  <xdr:twoCellAnchor>
    <xdr:from>
      <xdr:col>15</xdr:col>
      <xdr:colOff>27782</xdr:colOff>
      <xdr:row>10</xdr:row>
      <xdr:rowOff>7937</xdr:rowOff>
    </xdr:from>
    <xdr:to>
      <xdr:col>17</xdr:col>
      <xdr:colOff>281782</xdr:colOff>
      <xdr:row>15</xdr:row>
      <xdr:rowOff>23812</xdr:rowOff>
    </xdr:to>
    <xdr:sp macro="" textlink="KPIs!C8">
      <xdr:nvSpPr>
        <xdr:cNvPr id="31" name="TextBox 30">
          <a:extLst>
            <a:ext uri="{FF2B5EF4-FFF2-40B4-BE49-F238E27FC236}">
              <a16:creationId xmlns:a16="http://schemas.microsoft.com/office/drawing/2014/main" id="{85C0E12E-3DE5-C3EA-3CB9-004AFE66A5B7}"/>
            </a:ext>
          </a:extLst>
        </xdr:cNvPr>
        <xdr:cNvSpPr txBox="1"/>
      </xdr:nvSpPr>
      <xdr:spPr>
        <a:xfrm>
          <a:off x="12410282" y="2071687"/>
          <a:ext cx="1905000" cy="1047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46DAEF-EE9E-C945-AAEF-43719D7D796F}" type="TxLink">
            <a:rPr lang="en-US" sz="3600" b="0" i="0" u="none" strike="noStrike">
              <a:solidFill>
                <a:srgbClr val="000000"/>
              </a:solidFill>
              <a:latin typeface="Aptos Narrow"/>
            </a:rPr>
            <a:pPr algn="ctr"/>
            <a:t>1,68</a:t>
          </a:fld>
          <a:endParaRPr lang="en-GB" sz="3600"/>
        </a:p>
      </xdr:txBody>
    </xdr:sp>
    <xdr:clientData/>
  </xdr:twoCellAnchor>
  <xdr:twoCellAnchor>
    <xdr:from>
      <xdr:col>19</xdr:col>
      <xdr:colOff>174625</xdr:colOff>
      <xdr:row>9</xdr:row>
      <xdr:rowOff>158750</xdr:rowOff>
    </xdr:from>
    <xdr:to>
      <xdr:col>21</xdr:col>
      <xdr:colOff>381000</xdr:colOff>
      <xdr:row>15</xdr:row>
      <xdr:rowOff>79375</xdr:rowOff>
    </xdr:to>
    <xdr:sp macro="" textlink="KPIs!B8">
      <xdr:nvSpPr>
        <xdr:cNvPr id="32" name="TextBox 31">
          <a:extLst>
            <a:ext uri="{FF2B5EF4-FFF2-40B4-BE49-F238E27FC236}">
              <a16:creationId xmlns:a16="http://schemas.microsoft.com/office/drawing/2014/main" id="{FE978736-1B0B-5724-FA93-6E938CE25E28}"/>
            </a:ext>
          </a:extLst>
        </xdr:cNvPr>
        <xdr:cNvSpPr txBox="1"/>
      </xdr:nvSpPr>
      <xdr:spPr>
        <a:xfrm>
          <a:off x="15859125" y="2016125"/>
          <a:ext cx="1857375" cy="1158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E80A1E-157E-3A48-B0CC-620FB81A204D}" type="TxLink">
            <a:rPr lang="en-US" sz="3600" b="0" i="0" u="none" strike="noStrike">
              <a:solidFill>
                <a:srgbClr val="000000"/>
              </a:solidFill>
              <a:latin typeface="Aptos Narrow"/>
            </a:rPr>
            <a:pPr algn="ctr"/>
            <a:t>1,15</a:t>
          </a:fld>
          <a:endParaRPr lang="en-GB" sz="3600"/>
        </a:p>
      </xdr:txBody>
    </xdr:sp>
    <xdr:clientData/>
  </xdr:twoCellAnchor>
  <xdr:twoCellAnchor>
    <xdr:from>
      <xdr:col>3</xdr:col>
      <xdr:colOff>492126</xdr:colOff>
      <xdr:row>41</xdr:row>
      <xdr:rowOff>158750</xdr:rowOff>
    </xdr:from>
    <xdr:to>
      <xdr:col>22</xdr:col>
      <xdr:colOff>492126</xdr:colOff>
      <xdr:row>64</xdr:row>
      <xdr:rowOff>127000</xdr:rowOff>
    </xdr:to>
    <xdr:sp macro="" textlink="">
      <xdr:nvSpPr>
        <xdr:cNvPr id="33" name="Rounded Rectangle 32">
          <a:extLst>
            <a:ext uri="{FF2B5EF4-FFF2-40B4-BE49-F238E27FC236}">
              <a16:creationId xmlns:a16="http://schemas.microsoft.com/office/drawing/2014/main" id="{41D93C17-49BB-54AF-039E-0D18B0DFF232}"/>
            </a:ext>
          </a:extLst>
        </xdr:cNvPr>
        <xdr:cNvSpPr/>
      </xdr:nvSpPr>
      <xdr:spPr>
        <a:xfrm>
          <a:off x="2968626" y="8620125"/>
          <a:ext cx="15906750" cy="4714875"/>
        </a:xfrm>
        <a:prstGeom prst="roundRect">
          <a:avLst/>
        </a:prstGeom>
        <a:solidFill>
          <a:srgbClr val="FFFFFF"/>
        </a:solidFill>
        <a:ln>
          <a:solidFill>
            <a:srgbClr val="EA55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571500</xdr:colOff>
      <xdr:row>43</xdr:row>
      <xdr:rowOff>1</xdr:rowOff>
    </xdr:from>
    <xdr:to>
      <xdr:col>22</xdr:col>
      <xdr:colOff>63500</xdr:colOff>
      <xdr:row>64</xdr:row>
      <xdr:rowOff>31751</xdr:rowOff>
    </xdr:to>
    <xdr:grpSp>
      <xdr:nvGrpSpPr>
        <xdr:cNvPr id="41" name="Group 40">
          <a:extLst>
            <a:ext uri="{FF2B5EF4-FFF2-40B4-BE49-F238E27FC236}">
              <a16:creationId xmlns:a16="http://schemas.microsoft.com/office/drawing/2014/main" id="{6069B32B-0EBF-DA26-A3C8-1F3703AD8A1C}"/>
            </a:ext>
          </a:extLst>
        </xdr:cNvPr>
        <xdr:cNvGrpSpPr/>
      </xdr:nvGrpSpPr>
      <xdr:grpSpPr>
        <a:xfrm>
          <a:off x="3909786" y="8581572"/>
          <a:ext cx="14732000" cy="4222750"/>
          <a:chOff x="4603750" y="8810626"/>
          <a:chExt cx="13716000" cy="4365625"/>
        </a:xfrm>
      </xdr:grpSpPr>
      <xdr:graphicFrame macro="">
        <xdr:nvGraphicFramePr>
          <xdr:cNvPr id="34" name="Chart 33">
            <a:extLst>
              <a:ext uri="{FF2B5EF4-FFF2-40B4-BE49-F238E27FC236}">
                <a16:creationId xmlns:a16="http://schemas.microsoft.com/office/drawing/2014/main" id="{620D0CCF-8AC6-7E40-A89E-A000BAC8149C}"/>
              </a:ext>
            </a:extLst>
          </xdr:cNvPr>
          <xdr:cNvGraphicFramePr>
            <a:graphicFrameLocks/>
          </xdr:cNvGraphicFramePr>
        </xdr:nvGraphicFramePr>
        <xdr:xfrm>
          <a:off x="4603750" y="8810626"/>
          <a:ext cx="13716000" cy="357187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5" name="TextBox 34">
            <a:extLst>
              <a:ext uri="{FF2B5EF4-FFF2-40B4-BE49-F238E27FC236}">
                <a16:creationId xmlns:a16="http://schemas.microsoft.com/office/drawing/2014/main" id="{83D49984-B1E7-A836-E54A-75D761314BF6}"/>
              </a:ext>
            </a:extLst>
          </xdr:cNvPr>
          <xdr:cNvSpPr txBox="1"/>
        </xdr:nvSpPr>
        <xdr:spPr>
          <a:xfrm>
            <a:off x="6365875" y="12636501"/>
            <a:ext cx="9255125" cy="53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ZA" sz="1400" b="0">
                <a:solidFill>
                  <a:schemeClr val="dk1"/>
                </a:solidFill>
                <a:effectLst/>
                <a:latin typeface="Helvetica" pitchFamily="2" charset="0"/>
                <a:ea typeface="+mn-ea"/>
                <a:cs typeface="+mn-cs"/>
              </a:rPr>
              <a:t>Forecast based on historical trend. Illustrative purposes only</a:t>
            </a:r>
          </a:p>
          <a:p>
            <a:pPr algn="ctr"/>
            <a:endParaRPr lang="en-GB" sz="1100"/>
          </a:p>
        </xdr:txBody>
      </xdr:sp>
    </xdr:grpSp>
    <xdr:clientData/>
  </xdr:twoCellAnchor>
  <xdr:twoCellAnchor>
    <xdr:from>
      <xdr:col>11</xdr:col>
      <xdr:colOff>365126</xdr:colOff>
      <xdr:row>17</xdr:row>
      <xdr:rowOff>31749</xdr:rowOff>
    </xdr:from>
    <xdr:to>
      <xdr:col>21</xdr:col>
      <xdr:colOff>825500</xdr:colOff>
      <xdr:row>40</xdr:row>
      <xdr:rowOff>126999</xdr:rowOff>
    </xdr:to>
    <xdr:sp macro="" textlink="">
      <xdr:nvSpPr>
        <xdr:cNvPr id="37" name="Rounded Rectangle 36">
          <a:extLst>
            <a:ext uri="{FF2B5EF4-FFF2-40B4-BE49-F238E27FC236}">
              <a16:creationId xmlns:a16="http://schemas.microsoft.com/office/drawing/2014/main" id="{8E90E58D-ECBA-FB85-C081-146B4DD1E1ED}"/>
            </a:ext>
          </a:extLst>
        </xdr:cNvPr>
        <xdr:cNvSpPr/>
      </xdr:nvSpPr>
      <xdr:spPr>
        <a:xfrm>
          <a:off x="9445626" y="3540124"/>
          <a:ext cx="8715374" cy="4841875"/>
        </a:xfrm>
        <a:prstGeom prst="roundRect">
          <a:avLst/>
        </a:prstGeom>
        <a:solidFill>
          <a:srgbClr val="FFFFFF"/>
        </a:solidFill>
        <a:ln>
          <a:solidFill>
            <a:srgbClr val="EA55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136208</xdr:colOff>
      <xdr:row>10</xdr:row>
      <xdr:rowOff>38419</xdr:rowOff>
    </xdr:from>
    <xdr:to>
      <xdr:col>2</xdr:col>
      <xdr:colOff>460693</xdr:colOff>
      <xdr:row>47</xdr:row>
      <xdr:rowOff>174944</xdr:rowOff>
    </xdr:to>
    <xdr:pic>
      <xdr:nvPicPr>
        <xdr:cNvPr id="39" name="Picture 38">
          <a:extLst>
            <a:ext uri="{FF2B5EF4-FFF2-40B4-BE49-F238E27FC236}">
              <a16:creationId xmlns:a16="http://schemas.microsoft.com/office/drawing/2014/main" id="{A87C21FC-F5B3-C9AC-AFE1-ED4DA49AB39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6200000">
          <a:off x="-2762249" y="5000626"/>
          <a:ext cx="7772400" cy="1975485"/>
        </a:xfrm>
        <a:prstGeom prst="rect">
          <a:avLst/>
        </a:prstGeom>
      </xdr:spPr>
    </xdr:pic>
    <xdr:clientData/>
  </xdr:twoCellAnchor>
  <xdr:twoCellAnchor>
    <xdr:from>
      <xdr:col>22</xdr:col>
      <xdr:colOff>158752</xdr:colOff>
      <xdr:row>11</xdr:row>
      <xdr:rowOff>142876</xdr:rowOff>
    </xdr:from>
    <xdr:to>
      <xdr:col>26</xdr:col>
      <xdr:colOff>635001</xdr:colOff>
      <xdr:row>40</xdr:row>
      <xdr:rowOff>79375</xdr:rowOff>
    </xdr:to>
    <xdr:grpSp>
      <xdr:nvGrpSpPr>
        <xdr:cNvPr id="38" name="Group 37">
          <a:extLst>
            <a:ext uri="{FF2B5EF4-FFF2-40B4-BE49-F238E27FC236}">
              <a16:creationId xmlns:a16="http://schemas.microsoft.com/office/drawing/2014/main" id="{A1FFFF38-E7D9-7AB0-C2BD-E70ADDB83FA8}"/>
            </a:ext>
          </a:extLst>
        </xdr:cNvPr>
        <xdr:cNvGrpSpPr/>
      </xdr:nvGrpSpPr>
      <xdr:grpSpPr>
        <a:xfrm>
          <a:off x="18737038" y="2338162"/>
          <a:ext cx="3814534" cy="5724070"/>
          <a:chOff x="19194122" y="2397126"/>
          <a:chExt cx="3325556" cy="5921374"/>
        </a:xfrm>
      </xdr:grpSpPr>
      <xdr:sp macro="" textlink="">
        <xdr:nvSpPr>
          <xdr:cNvPr id="14" name="Rounded Rectangle 13">
            <a:extLst>
              <a:ext uri="{FF2B5EF4-FFF2-40B4-BE49-F238E27FC236}">
                <a16:creationId xmlns:a16="http://schemas.microsoft.com/office/drawing/2014/main" id="{609BA36E-DEEB-A446-7D44-7AB247E373E8}"/>
              </a:ext>
            </a:extLst>
          </xdr:cNvPr>
          <xdr:cNvSpPr/>
        </xdr:nvSpPr>
        <xdr:spPr>
          <a:xfrm>
            <a:off x="19194122" y="2397126"/>
            <a:ext cx="3325556" cy="5921374"/>
          </a:xfrm>
          <a:prstGeom prst="roundRect">
            <a:avLst/>
          </a:prstGeom>
          <a:solidFill>
            <a:srgbClr val="FFFFFF"/>
          </a:solidFill>
          <a:ln>
            <a:solidFill>
              <a:srgbClr val="EA55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REC COMMENTS RAW'!F18">
        <xdr:nvSpPr>
          <xdr:cNvPr id="15" name="TextBox 14">
            <a:extLst>
              <a:ext uri="{FF2B5EF4-FFF2-40B4-BE49-F238E27FC236}">
                <a16:creationId xmlns:a16="http://schemas.microsoft.com/office/drawing/2014/main" id="{DDD16F07-57DA-2834-253F-272B1EEC32F8}"/>
              </a:ext>
            </a:extLst>
          </xdr:cNvPr>
          <xdr:cNvSpPr txBox="1"/>
        </xdr:nvSpPr>
        <xdr:spPr>
          <a:xfrm>
            <a:off x="19476394" y="3778250"/>
            <a:ext cx="2603500" cy="1031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3C6289-D184-244D-BA55-E8F325F5F3F6}" type="TxLink">
              <a:rPr lang="en-US" sz="1400" b="0" i="0" u="none" strike="noStrike">
                <a:solidFill>
                  <a:srgbClr val="000000"/>
                </a:solidFill>
                <a:latin typeface="Helvetica" pitchFamily="2" charset="0"/>
              </a:rPr>
              <a:t>Despite revenue growth, profitability weakened as margins deteriorated.</a:t>
            </a:fld>
            <a:endParaRPr lang="en-GB" sz="1400">
              <a:latin typeface="Helvetica" pitchFamily="2" charset="0"/>
            </a:endParaRPr>
          </a:p>
        </xdr:txBody>
      </xdr:sp>
      <xdr:sp macro="" textlink="'REC COMMENTS RAW'!F19">
        <xdr:nvSpPr>
          <xdr:cNvPr id="25" name="TextBox 24">
            <a:extLst>
              <a:ext uri="{FF2B5EF4-FFF2-40B4-BE49-F238E27FC236}">
                <a16:creationId xmlns:a16="http://schemas.microsoft.com/office/drawing/2014/main" id="{FFB819E0-5093-D122-1B2C-10FF8E6A828B}"/>
              </a:ext>
            </a:extLst>
          </xdr:cNvPr>
          <xdr:cNvSpPr txBox="1"/>
        </xdr:nvSpPr>
        <xdr:spPr>
          <a:xfrm>
            <a:off x="19524348" y="4826000"/>
            <a:ext cx="2619375" cy="904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236BAB-87BD-9B44-824A-F53D192C17D5}" type="TxLink">
              <a:rPr lang="en-US" sz="1400" b="0" i="0" u="none" strike="noStrike">
                <a:solidFill>
                  <a:srgbClr val="000000"/>
                </a:solidFill>
                <a:latin typeface="Helvetica" pitchFamily="2" charset="0"/>
              </a:rPr>
              <a:t>Gross margin remained stable, indicating effective pricing and cost control.</a:t>
            </a:fld>
            <a:endParaRPr lang="en-GB" sz="1400">
              <a:latin typeface="Helvetica" pitchFamily="2" charset="0"/>
            </a:endParaRPr>
          </a:p>
        </xdr:txBody>
      </xdr:sp>
      <xdr:sp macro="" textlink="'REC COMMENTS RAW'!F17">
        <xdr:nvSpPr>
          <xdr:cNvPr id="26" name="TextBox 25">
            <a:extLst>
              <a:ext uri="{FF2B5EF4-FFF2-40B4-BE49-F238E27FC236}">
                <a16:creationId xmlns:a16="http://schemas.microsoft.com/office/drawing/2014/main" id="{721C6F70-19D9-7C2E-5D6E-42C1C65682AD}"/>
              </a:ext>
            </a:extLst>
          </xdr:cNvPr>
          <xdr:cNvSpPr txBox="1"/>
        </xdr:nvSpPr>
        <xdr:spPr>
          <a:xfrm>
            <a:off x="19478625" y="5889625"/>
            <a:ext cx="2682875" cy="1016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F06A5A-E881-334E-B3C1-46262311F04A}" type="TxLink">
              <a:rPr lang="en-US" sz="1400" b="0" i="0" u="none" strike="noStrike">
                <a:solidFill>
                  <a:srgbClr val="000000"/>
                </a:solidFill>
                <a:latin typeface="Helvetica" pitchFamily="2" charset="0"/>
              </a:rPr>
              <a:t>Revenue increased year-on-year, indicating topline growth.</a:t>
            </a:fld>
            <a:endParaRPr lang="en-GB" sz="1400">
              <a:latin typeface="Helvetica" pitchFamily="2" charset="0"/>
            </a:endParaRPr>
          </a:p>
        </xdr:txBody>
      </xdr:sp>
      <xdr:sp macro="" textlink="'REC COMMENTS RAW'!F20">
        <xdr:nvSpPr>
          <xdr:cNvPr id="29" name="TextBox 28">
            <a:extLst>
              <a:ext uri="{FF2B5EF4-FFF2-40B4-BE49-F238E27FC236}">
                <a16:creationId xmlns:a16="http://schemas.microsoft.com/office/drawing/2014/main" id="{851CDFEE-5EC0-0A92-0D08-41C62B74F6D3}"/>
              </a:ext>
            </a:extLst>
          </xdr:cNvPr>
          <xdr:cNvSpPr txBox="1"/>
        </xdr:nvSpPr>
        <xdr:spPr>
          <a:xfrm>
            <a:off x="19474822" y="7096125"/>
            <a:ext cx="2762250" cy="1000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924894-F6F3-4742-834A-E1BCC31359A2}" type="TxLink">
              <a:rPr lang="en-US" sz="1400" b="0" i="0" u="none" strike="noStrike">
                <a:solidFill>
                  <a:srgbClr val="000000"/>
                </a:solidFill>
                <a:latin typeface="Helvetica" pitchFamily="2" charset="0"/>
              </a:rPr>
              <a:t>Operating expenses grew faster than revenue, indicating declining operating leverage.</a:t>
            </a:fld>
            <a:endParaRPr lang="en-US" sz="1400" b="0" i="0" u="none" strike="noStrike">
              <a:solidFill>
                <a:srgbClr val="000000"/>
              </a:solidFill>
              <a:latin typeface="Helvetica" pitchFamily="2" charset="0"/>
            </a:endParaRPr>
          </a:p>
        </xdr:txBody>
      </xdr:sp>
    </xdr:grpSp>
    <xdr:clientData/>
  </xdr:twoCellAnchor>
  <xdr:twoCellAnchor>
    <xdr:from>
      <xdr:col>23</xdr:col>
      <xdr:colOff>47625</xdr:colOff>
      <xdr:row>12</xdr:row>
      <xdr:rowOff>142875</xdr:rowOff>
    </xdr:from>
    <xdr:to>
      <xdr:col>25</xdr:col>
      <xdr:colOff>492125</xdr:colOff>
      <xdr:row>14</xdr:row>
      <xdr:rowOff>111125</xdr:rowOff>
    </xdr:to>
    <xdr:sp macro="" textlink="">
      <xdr:nvSpPr>
        <xdr:cNvPr id="40" name="TextBox 39">
          <a:extLst>
            <a:ext uri="{FF2B5EF4-FFF2-40B4-BE49-F238E27FC236}">
              <a16:creationId xmlns:a16="http://schemas.microsoft.com/office/drawing/2014/main" id="{8400ACC8-C69B-4167-57B5-BEDC332DB5DC}"/>
            </a:ext>
          </a:extLst>
        </xdr:cNvPr>
        <xdr:cNvSpPr txBox="1"/>
      </xdr:nvSpPr>
      <xdr:spPr>
        <a:xfrm>
          <a:off x="19256375" y="2619375"/>
          <a:ext cx="20955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latin typeface="Helvetica" pitchFamily="2" charset="0"/>
            </a:rPr>
            <a:t>Insights</a:t>
          </a:r>
          <a:r>
            <a:rPr lang="en-GB" sz="1400" b="1" baseline="0">
              <a:latin typeface="Helvetica" pitchFamily="2" charset="0"/>
            </a:rPr>
            <a:t> derived</a:t>
          </a:r>
          <a:endParaRPr lang="en-GB" sz="1400" b="1">
            <a:latin typeface="Helvetica" pitchFamily="2" charset="0"/>
          </a:endParaRPr>
        </a:p>
      </xdr:txBody>
    </xdr:sp>
    <xdr:clientData/>
  </xdr:twoCellAnchor>
  <xdr:twoCellAnchor editAs="oneCell">
    <xdr:from>
      <xdr:col>22</xdr:col>
      <xdr:colOff>301625</xdr:colOff>
      <xdr:row>14</xdr:row>
      <xdr:rowOff>190499</xdr:rowOff>
    </xdr:from>
    <xdr:to>
      <xdr:col>26</xdr:col>
      <xdr:colOff>603250</xdr:colOff>
      <xdr:row>17</xdr:row>
      <xdr:rowOff>15875</xdr:rowOff>
    </xdr:to>
    <mc:AlternateContent xmlns:mc="http://schemas.openxmlformats.org/markup-compatibility/2006">
      <mc:Choice xmlns:a14="http://schemas.microsoft.com/office/drawing/2010/main" Requires="a14">
        <xdr:graphicFrame macro="">
          <xdr:nvGraphicFramePr>
            <xdr:cNvPr id="42" name="Year 1">
              <a:extLst>
                <a:ext uri="{FF2B5EF4-FFF2-40B4-BE49-F238E27FC236}">
                  <a16:creationId xmlns:a16="http://schemas.microsoft.com/office/drawing/2014/main" id="{14FD5984-2E78-0E4B-B063-AEE2231B9A6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8879911" y="2984499"/>
              <a:ext cx="3639910" cy="4240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508000</xdr:colOff>
      <xdr:row>1</xdr:row>
      <xdr:rowOff>158749</xdr:rowOff>
    </xdr:from>
    <xdr:to>
      <xdr:col>7</xdr:col>
      <xdr:colOff>546100</xdr:colOff>
      <xdr:row>4</xdr:row>
      <xdr:rowOff>158749</xdr:rowOff>
    </xdr:to>
    <mc:AlternateContent xmlns:mc="http://schemas.openxmlformats.org/markup-compatibility/2006">
      <mc:Choice xmlns:a14="http://schemas.microsoft.com/office/drawing/2010/main" Requires="a14">
        <xdr:graphicFrame macro="">
          <xdr:nvGraphicFramePr>
            <xdr:cNvPr id="43" name="KPIs">
              <a:extLst>
                <a:ext uri="{FF2B5EF4-FFF2-40B4-BE49-F238E27FC236}">
                  <a16:creationId xmlns:a16="http://schemas.microsoft.com/office/drawing/2014/main" id="{943436D6-D205-E847-8F39-26E67432F51C}"/>
                </a:ext>
              </a:extLst>
            </xdr:cNvPr>
            <xdr:cNvGraphicFramePr/>
          </xdr:nvGraphicFramePr>
          <xdr:xfrm>
            <a:off x="0" y="0"/>
            <a:ext cx="0" cy="0"/>
          </xdr:xfrm>
          <a:graphic>
            <a:graphicData uri="http://schemas.microsoft.com/office/drawing/2010/slicer">
              <sle:slicer xmlns:sle="http://schemas.microsoft.com/office/drawing/2010/slicer" name="KPIs"/>
            </a:graphicData>
          </a:graphic>
        </xdr:graphicFrame>
      </mc:Choice>
      <mc:Fallback>
        <xdr:sp macro="" textlink="">
          <xdr:nvSpPr>
            <xdr:cNvPr id="0" name=""/>
            <xdr:cNvSpPr>
              <a:spLocks noTextEdit="1"/>
            </xdr:cNvSpPr>
          </xdr:nvSpPr>
          <xdr:spPr>
            <a:xfrm>
              <a:off x="3011714" y="358320"/>
              <a:ext cx="3376386" cy="5987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650877</xdr:colOff>
      <xdr:row>18</xdr:row>
      <xdr:rowOff>0</xdr:rowOff>
    </xdr:from>
    <xdr:to>
      <xdr:col>21</xdr:col>
      <xdr:colOff>603251</xdr:colOff>
      <xdr:row>39</xdr:row>
      <xdr:rowOff>63500</xdr:rowOff>
    </xdr:to>
    <xdr:grpSp>
      <xdr:nvGrpSpPr>
        <xdr:cNvPr id="46" name="Group 45">
          <a:extLst>
            <a:ext uri="{FF2B5EF4-FFF2-40B4-BE49-F238E27FC236}">
              <a16:creationId xmlns:a16="http://schemas.microsoft.com/office/drawing/2014/main" id="{B33C87A0-BC57-1B7D-1046-04AF0C49833E}"/>
            </a:ext>
          </a:extLst>
        </xdr:cNvPr>
        <xdr:cNvGrpSpPr/>
      </xdr:nvGrpSpPr>
      <xdr:grpSpPr>
        <a:xfrm>
          <a:off x="9831163" y="3592286"/>
          <a:ext cx="8298088" cy="4254500"/>
          <a:chOff x="10255252" y="3619500"/>
          <a:chExt cx="8207374" cy="4397375"/>
        </a:xfrm>
      </xdr:grpSpPr>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EE0FF92-55AC-BD46-867A-8DBB4A4D102D}"/>
                  </a:ext>
                </a:extLst>
              </xdr:cNvPr>
              <xdr:cNvGraphicFramePr/>
            </xdr:nvGraphicFramePr>
            <xdr:xfrm>
              <a:off x="10255252" y="4111625"/>
              <a:ext cx="8207374" cy="390525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255252" y="4111625"/>
                <a:ext cx="8207374" cy="39052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a14="http://schemas.microsoft.com/office/drawing/2010/main" Requires="a14">
          <xdr:graphicFrame macro="">
            <xdr:nvGraphicFramePr>
              <xdr:cNvPr id="45" name="Year">
                <a:extLst>
                  <a:ext uri="{FF2B5EF4-FFF2-40B4-BE49-F238E27FC236}">
                    <a16:creationId xmlns:a16="http://schemas.microsoft.com/office/drawing/2014/main" id="{82115272-5C93-DA46-9994-CB669A0AC2C9}"/>
                  </a:ext>
                </a:extLst>
              </xdr:cNvPr>
              <xdr:cNvGraphicFramePr/>
            </xdr:nvGraphicFramePr>
            <xdr:xfrm>
              <a:off x="12414250" y="3619500"/>
              <a:ext cx="3771900" cy="41910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014024" y="3592286"/>
                <a:ext cx="3813590" cy="4054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olwa Gama" refreshedDate="46051.737779861112" createdVersion="8" refreshedVersion="8" minRefreshableVersion="3" recordCount="5" xr:uid="{AACD3FD8-9772-4049-9259-FC9DD853886B}">
  <cacheSource type="worksheet">
    <worksheetSource name="Table7"/>
  </cacheSource>
  <cacheFields count="6">
    <cacheField name="Perporting period " numFmtId="0">
      <sharedItems containsSemiMixedTypes="0" containsString="0" containsNumber="1" containsInteger="1" minValue="2021" maxValue="2025" count="5">
        <n v="2025"/>
        <n v="2024"/>
        <n v="2023"/>
        <n v="2022"/>
        <n v="2021"/>
      </sharedItems>
    </cacheField>
    <cacheField name="Operating Margin" numFmtId="164">
      <sharedItems containsSemiMixedTypes="0" containsString="0" containsNumber="1" minValue="7.9941264117126265E-2" maxValue="0.15575463649018817"/>
    </cacheField>
    <cacheField name="Debt-to-Equity" numFmtId="2">
      <sharedItems containsSemiMixedTypes="0" containsString="0" containsNumber="1" minValue="1.6386362149074012" maxValue="1.9560585885486019"/>
    </cacheField>
    <cacheField name="Cash Flow Quality" numFmtId="2">
      <sharedItems containsSemiMixedTypes="0" containsString="0" containsNumber="1" minValue="0.85808799206086661" maxValue="1.3033333333333332"/>
    </cacheField>
    <cacheField name="Free Cash Flow" numFmtId="0">
      <sharedItems containsSemiMixedTypes="0" containsString="0" containsNumber="1" minValue="3.2679999999999998" maxValue="6.617"/>
    </cacheField>
    <cacheField name="Return On Equity" numFmtId="164">
      <sharedItems containsSemiMixedTypes="0" containsString="0" containsNumber="1" minValue="0.23289802119885683" maxValue="0.55009124963980416"/>
    </cacheField>
  </cacheFields>
  <extLst>
    <ext xmlns:x14="http://schemas.microsoft.com/office/spreadsheetml/2009/9/main" uri="{725AE2AE-9491-48be-B2B4-4EB974FC3084}">
      <x14:pivotCacheDefinition pivotCacheId="14552375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olwa Gama" refreshedDate="46052.574488541664" createdVersion="8" refreshedVersion="8" minRefreshableVersion="3" recordCount="25" xr:uid="{28E35300-A8DC-4B44-BCBC-318F048CE942}">
  <cacheSource type="worksheet">
    <worksheetSource name="Table10"/>
  </cacheSource>
  <cacheFields count="3">
    <cacheField name="Year" numFmtId="0">
      <sharedItems containsSemiMixedTypes="0" containsString="0" containsNumber="1" containsInteger="1" minValue="2021" maxValue="2025" count="5">
        <n v="2021"/>
        <n v="2022"/>
        <n v="2023"/>
        <n v="2024"/>
        <n v="2025"/>
      </sharedItems>
    </cacheField>
    <cacheField name="Entity" numFmtId="0">
      <sharedItems count="5">
        <s v="Nike"/>
        <s v="Adidas"/>
        <s v="Anta Sportswear"/>
        <s v="Lululemon"/>
        <s v="Industry Margin"/>
      </sharedItems>
    </cacheField>
    <cacheField name="Operating Margin" numFmtId="10">
      <sharedItems containsSemiMixedTypes="0" containsString="0" containsNumber="1" minValue="1.2507583889485229E-2" maxValue="0.78906882591093119"/>
    </cacheField>
  </cacheFields>
  <extLst>
    <ext xmlns:x14="http://schemas.microsoft.com/office/spreadsheetml/2009/9/main" uri="{725AE2AE-9491-48be-B2B4-4EB974FC3084}">
      <x14:pivotCacheDefinition pivotCacheId="100263724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olwa Gama" refreshedDate="46052.785603703705" createdVersion="8" refreshedVersion="8" minRefreshableVersion="3" recordCount="8" xr:uid="{54602795-190F-5549-9848-BFE1B44FA0EE}">
  <cacheSource type="worksheet">
    <worksheetSource name="Table9"/>
  </cacheSource>
  <cacheFields count="3">
    <cacheField name="Year" numFmtId="0">
      <sharedItems containsSemiMixedTypes="0" containsString="0" containsNumber="1" containsInteger="1" minValue="2020" maxValue="2027" count="8">
        <n v="2020"/>
        <n v="2021"/>
        <n v="2022"/>
        <n v="2023"/>
        <n v="2024"/>
        <n v="2025"/>
        <n v="2026"/>
        <n v="2027"/>
      </sharedItems>
    </cacheField>
    <cacheField name="Revenue Actual" numFmtId="0">
      <sharedItems containsString="0" containsBlank="1" containsNumber="1" minValue="37.402999999999999" maxValue="51.362000000000002"/>
    </cacheField>
    <cacheField name="Revenue(Forecast)" numFmtId="166">
      <sharedItems containsString="0" containsBlank="1" containsNumber="1" minValue="51.304799999999886" maxValue="53.2073999999997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olwa Gama" refreshedDate="46055.680779166665" createdVersion="8" refreshedVersion="8" minRefreshableVersion="3" recordCount="25" xr:uid="{7D655E59-5605-EC46-89C5-3658BBF984B4}">
  <cacheSource type="worksheet">
    <worksheetSource name="Table11"/>
  </cacheSource>
  <cacheFields count="3">
    <cacheField name="Year" numFmtId="0">
      <sharedItems containsSemiMixedTypes="0" containsString="0" containsNumber="1" containsInteger="1" minValue="2021" maxValue="2025" count="5">
        <n v="2025"/>
        <n v="2024"/>
        <n v="2023"/>
        <n v="2022"/>
        <n v="2021"/>
      </sharedItems>
    </cacheField>
    <cacheField name="Label" numFmtId="0">
      <sharedItems count="5">
        <s v="Prior Year NI (USD Billions) △"/>
        <s v="Rev Change (USD Billions) △"/>
        <s v="COGS Efficiency △"/>
        <s v="OpEx Efficiency △"/>
        <s v="Impact on Current NI (USD Billions) △"/>
      </sharedItems>
    </cacheField>
    <cacheField name="Amount" numFmtId="166">
      <sharedItems containsSemiMixedTypes="0" containsString="0" containsNumber="1" minValue="-5.0530000000000044" maxValue="7.134999999999998"/>
    </cacheField>
  </cacheFields>
  <extLst>
    <ext xmlns:x14="http://schemas.microsoft.com/office/spreadsheetml/2009/9/main" uri="{725AE2AE-9491-48be-B2B4-4EB974FC3084}">
      <x14:pivotCacheDefinition pivotCacheId="89793241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olwa Gama" refreshedDate="46055.77213287037" createdVersion="8" refreshedVersion="8" minRefreshableVersion="3" recordCount="25" xr:uid="{48069FB7-6FAA-2943-9257-C0024E22604D}">
  <cacheSource type="worksheet">
    <worksheetSource name="Table13"/>
  </cacheSource>
  <cacheFields count="3">
    <cacheField name="Year" numFmtId="0">
      <sharedItems containsSemiMixedTypes="0" containsString="0" containsNumber="1" containsInteger="1" minValue="2021" maxValue="2025" count="5">
        <n v="2025"/>
        <n v="2024"/>
        <n v="2023"/>
        <n v="2022"/>
        <n v="2021"/>
      </sharedItems>
    </cacheField>
    <cacheField name="Metric" numFmtId="0">
      <sharedItems count="5">
        <s v="Revenue Growth"/>
        <s v="Net Income Margin"/>
        <s v="Operating expense ratio"/>
        <s v="Gross margin percentage"/>
        <s v="Earnings Bridge Driver"/>
      </sharedItems>
    </cacheField>
    <cacheField name="Amount" numFmtId="0">
      <sharedItems containsSemiMixedTypes="0" containsString="0" containsNumber="1" minValue="-0.16142904399603042" maxValue="7.134999999999998"/>
    </cacheField>
  </cacheFields>
  <extLst>
    <ext xmlns:x14="http://schemas.microsoft.com/office/spreadsheetml/2009/9/main" uri="{725AE2AE-9491-48be-B2B4-4EB974FC3084}">
      <x14:pivotCacheDefinition pivotCacheId="2021473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7.9941264117126265E-2"/>
    <n v="1.7684098993415576"/>
    <n v="1.1488039763901834"/>
    <n v="3.2679999999999998"/>
    <n v="0.23289802119885683"/>
  </r>
  <r>
    <x v="1"/>
    <n v="0.12287294108484871"/>
    <n v="1.641025641025641"/>
    <n v="1.3033333333333332"/>
    <n v="6.617"/>
    <n v="0.40092846592108045"/>
  </r>
  <r>
    <x v="2"/>
    <n v="0.11548899779370131"/>
    <n v="1.6800199942873466"/>
    <n v="1.1520710059171597"/>
    <n v="4.8719999999999999"/>
    <n v="0.34625234761823459"/>
  </r>
  <r>
    <x v="3"/>
    <n v="0.14290301862556198"/>
    <n v="1.6386362149074012"/>
    <n v="0.85808799206086661"/>
    <n v="4.43"/>
    <n v="0.43111808328579576"/>
  </r>
  <r>
    <x v="4"/>
    <n v="0.15575463649018817"/>
    <n v="1.9560585885486019"/>
    <n v="1.1623886851754845"/>
    <n v="5.9619999999999997"/>
    <n v="0.550091249639804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n v="0.15575463649018817"/>
  </r>
  <r>
    <x v="0"/>
    <x v="1"/>
    <n v="9.3529245549590273E-2"/>
  </r>
  <r>
    <x v="0"/>
    <x v="2"/>
    <n v="0.22277408368472268"/>
  </r>
  <r>
    <x v="0"/>
    <x v="3"/>
    <n v="0.186278964107224"/>
  </r>
  <r>
    <x v="0"/>
    <x v="4"/>
    <n v="0.17101680029870608"/>
  </r>
  <r>
    <x v="1"/>
    <x v="0"/>
    <n v="0.14290301862556198"/>
  </r>
  <r>
    <x v="1"/>
    <x v="1"/>
    <n v="2.9718804140198125E-2"/>
  </r>
  <r>
    <x v="1"/>
    <x v="2"/>
    <n v="0.2093157629867104"/>
  </r>
  <r>
    <x v="1"/>
    <x v="3"/>
    <n v="0.21304139363912419"/>
  </r>
  <r>
    <x v="1"/>
    <x v="4"/>
    <n v="0.17610939080613619"/>
  </r>
  <r>
    <x v="2"/>
    <x v="0"/>
    <n v="0.11548899779370131"/>
  </r>
  <r>
    <x v="2"/>
    <x v="1"/>
    <n v="1.2507583889485229E-2"/>
  </r>
  <r>
    <x v="2"/>
    <x v="2"/>
    <n v="0.246439797292963"/>
  </r>
  <r>
    <x v="2"/>
    <x v="3"/>
    <n v="0.16372827025027739"/>
  </r>
  <r>
    <x v="2"/>
    <x v="4"/>
    <n v="0.13960863402198936"/>
  </r>
  <r>
    <x v="3"/>
    <x v="0"/>
    <n v="0.12287294108484871"/>
  </r>
  <r>
    <x v="3"/>
    <x v="1"/>
    <n v="5.645399653760081E-2"/>
  </r>
  <r>
    <x v="3"/>
    <x v="2"/>
    <n v="0.23430661056674104"/>
  </r>
  <r>
    <x v="3"/>
    <x v="3"/>
    <n v="0.22174862251793326"/>
  </r>
  <r>
    <x v="3"/>
    <x v="4"/>
    <n v="0.17231078180139098"/>
  </r>
  <r>
    <x v="4"/>
    <x v="0"/>
    <n v="7.9941264117126265E-2"/>
  </r>
  <r>
    <x v="4"/>
    <x v="1"/>
    <n v="0.78906882591093119"/>
  </r>
  <r>
    <x v="4"/>
    <x v="2"/>
    <n v="0.23885767171283134"/>
  </r>
  <r>
    <x v="4"/>
    <x v="3"/>
    <n v="0.23668303740083113"/>
  </r>
  <r>
    <x v="4"/>
    <x v="4"/>
    <n v="0.2377703545568312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37.402999999999999"/>
    <m/>
  </r>
  <r>
    <x v="1"/>
    <n v="44.537999999999997"/>
    <m/>
  </r>
  <r>
    <x v="2"/>
    <n v="46.71"/>
    <m/>
  </r>
  <r>
    <x v="3"/>
    <n v="51.216999999999999"/>
    <m/>
  </r>
  <r>
    <x v="4"/>
    <n v="51.362000000000002"/>
    <m/>
  </r>
  <r>
    <x v="5"/>
    <n v="46.308999999999997"/>
    <m/>
  </r>
  <r>
    <x v="6"/>
    <m/>
    <n v="53.20739999999978"/>
  </r>
  <r>
    <x v="7"/>
    <m/>
    <n v="51.30479999999988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n v="5.7"/>
  </r>
  <r>
    <x v="0"/>
    <x v="1"/>
    <n v="-5.0530000000000044"/>
  </r>
  <r>
    <x v="0"/>
    <x v="2"/>
    <n v="-1.9560000000000031"/>
  </r>
  <r>
    <x v="0"/>
    <x v="3"/>
    <n v="-0.48799999999999955"/>
  </r>
  <r>
    <x v="0"/>
    <x v="4"/>
    <n v="3.2189999999999999"/>
  </r>
  <r>
    <x v="1"/>
    <x v="0"/>
    <n v="5.07"/>
  </r>
  <r>
    <x v="1"/>
    <x v="1"/>
    <n v="0.14500000000000313"/>
  </r>
  <r>
    <x v="1"/>
    <x v="2"/>
    <n v="-0.44999999999999929"/>
  </r>
  <r>
    <x v="1"/>
    <x v="3"/>
    <n v="0.19900000000000162"/>
  </r>
  <r>
    <x v="1"/>
    <x v="4"/>
    <n v="5.7"/>
  </r>
  <r>
    <x v="2"/>
    <x v="0"/>
    <n v="6.0460000000000003"/>
  </r>
  <r>
    <x v="2"/>
    <x v="1"/>
    <n v="4.5069999999999979"/>
  </r>
  <r>
    <x v="2"/>
    <x v="2"/>
    <n v="3.6939999999999991"/>
  </r>
  <r>
    <x v="2"/>
    <x v="3"/>
    <n v="1.5729999999999986"/>
  </r>
  <r>
    <x v="2"/>
    <x v="4"/>
    <n v="5.07"/>
  </r>
  <r>
    <x v="3"/>
    <x v="0"/>
    <n v="5.7270000000000003"/>
  </r>
  <r>
    <x v="3"/>
    <x v="1"/>
    <n v="2.1720000000000041"/>
  </r>
  <r>
    <x v="3"/>
    <x v="2"/>
    <n v="0.65500000000000114"/>
  </r>
  <r>
    <x v="3"/>
    <x v="3"/>
    <n v="1.7789999999999999"/>
  </r>
  <r>
    <x v="3"/>
    <x v="4"/>
    <n v="6.0460000000000003"/>
  </r>
  <r>
    <x v="4"/>
    <x v="0"/>
    <n v="2.5390000000000001"/>
  </r>
  <r>
    <x v="4"/>
    <x v="1"/>
    <n v="7.134999999999998"/>
  </r>
  <r>
    <x v="4"/>
    <x v="2"/>
    <n v="3.4140000000000015"/>
  </r>
  <r>
    <x v="4"/>
    <x v="3"/>
    <n v="-0.10099999999999909"/>
  </r>
  <r>
    <x v="4"/>
    <x v="4"/>
    <n v="5.727000000000000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n v="-9.8380125384525605E-2"/>
  </r>
  <r>
    <x v="0"/>
    <x v="1"/>
    <n v="6.9511326092120324E-2"/>
  </r>
  <r>
    <x v="0"/>
    <x v="2"/>
    <n v="0.34740547193850013"/>
  </r>
  <r>
    <x v="0"/>
    <x v="3"/>
    <n v="0.42734673605562634"/>
  </r>
  <r>
    <x v="0"/>
    <x v="4"/>
    <n v="5.0530000000000044"/>
  </r>
  <r>
    <x v="1"/>
    <x v="0"/>
    <n v="2.8310912392370334E-3"/>
  </r>
  <r>
    <x v="1"/>
    <x v="1"/>
    <n v="0.11097698687745804"/>
  </r>
  <r>
    <x v="1"/>
    <x v="2"/>
    <n v="0.32272886569837622"/>
  </r>
  <r>
    <x v="1"/>
    <x v="3"/>
    <n v="0.44560180678322492"/>
  </r>
  <r>
    <x v="1"/>
    <x v="4"/>
    <n v="0.44999999999999929"/>
  </r>
  <r>
    <x v="2"/>
    <x v="0"/>
    <n v="9.6488974523656554E-2"/>
  </r>
  <r>
    <x v="2"/>
    <x v="1"/>
    <n v="-0.16142904399603042"/>
  </r>
  <r>
    <x v="2"/>
    <x v="2"/>
    <n v="0.31975711189644063"/>
  </r>
  <r>
    <x v="2"/>
    <x v="3"/>
    <n v="0.43524610969014199"/>
  </r>
  <r>
    <x v="2"/>
    <x v="4"/>
    <n v="4.5069999999999979"/>
  </r>
  <r>
    <x v="3"/>
    <x v="0"/>
    <n v="4.8767344739323822E-2"/>
  </r>
  <r>
    <x v="3"/>
    <x v="1"/>
    <n v="0.12943695140226932"/>
  </r>
  <r>
    <x v="3"/>
    <x v="2"/>
    <n v="0.31693427531577822"/>
  </r>
  <r>
    <x v="3"/>
    <x v="3"/>
    <n v="0.45983729394134015"/>
  </r>
  <r>
    <x v="3"/>
    <x v="4"/>
    <n v="2.1720000000000041"/>
  </r>
  <r>
    <x v="4"/>
    <x v="0"/>
    <n v="0.19076009945726274"/>
  </r>
  <r>
    <x v="4"/>
    <x v="1"/>
    <n v="0.1285868247339351"/>
  </r>
  <r>
    <x v="4"/>
    <x v="2"/>
    <n v="0.29244689927702189"/>
  </r>
  <r>
    <x v="4"/>
    <x v="3"/>
    <n v="0.44820153576721006"/>
  </r>
  <r>
    <x v="4"/>
    <x v="4"/>
    <n v="7.134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86A508-7350-6141-851E-E92EABF899E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3">
    <pivotField axis="axisPage" showAll="0">
      <items count="6">
        <item x="4"/>
        <item x="3"/>
        <item x="2"/>
        <item x="1"/>
        <item x="0"/>
        <item t="default"/>
      </items>
    </pivotField>
    <pivotField axis="axisRow" showAll="0">
      <items count="6">
        <item x="4"/>
        <item x="3"/>
        <item x="1"/>
        <item x="2"/>
        <item x="0"/>
        <item t="default"/>
      </items>
    </pivotField>
    <pivotField dataField="1" showAll="0"/>
  </pivotFields>
  <rowFields count="1">
    <field x="1"/>
  </rowFields>
  <rowItems count="6">
    <i>
      <x/>
    </i>
    <i>
      <x v="1"/>
    </i>
    <i>
      <x v="2"/>
    </i>
    <i>
      <x v="3"/>
    </i>
    <i>
      <x v="4"/>
    </i>
    <i t="grand">
      <x/>
    </i>
  </rowItems>
  <colItems count="1">
    <i/>
  </colItems>
  <pageFields count="1">
    <pageField fld="0" item="2" hier="-1"/>
  </pageField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FAFFF2-C9B6-6848-A06B-01D66DD5AD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rowPageCount="1" colPageCount="1"/>
  <pivotFields count="6">
    <pivotField axis="axisPage" multipleItemSelectionAllowed="1" showAll="0">
      <items count="6">
        <item h="1" x="4"/>
        <item h="1" x="3"/>
        <item x="2"/>
        <item h="1" x="1"/>
        <item h="1" x="0"/>
        <item t="default"/>
      </items>
    </pivotField>
    <pivotField dataField="1" numFmtId="164" showAll="0"/>
    <pivotField dataField="1" numFmtId="2" showAll="0"/>
    <pivotField dataField="1" numFmtId="2" showAll="0"/>
    <pivotField dataField="1" showAll="0"/>
    <pivotField dataField="1" numFmtId="164" showAll="0"/>
  </pivotFields>
  <rowItems count="1">
    <i/>
  </rowItems>
  <colFields count="1">
    <field x="-2"/>
  </colFields>
  <colItems count="5">
    <i>
      <x/>
    </i>
    <i i="1">
      <x v="1"/>
    </i>
    <i i="2">
      <x v="2"/>
    </i>
    <i i="3">
      <x v="3"/>
    </i>
    <i i="4">
      <x v="4"/>
    </i>
  </colItems>
  <pageFields count="1">
    <pageField fld="0" hier="-1"/>
  </pageFields>
  <dataFields count="5">
    <dataField name="Sum of Free Cash Flow" fld="4" baseField="0" baseItem="0"/>
    <dataField name="Sum of Cash Flow Quality" fld="3" baseField="0" baseItem="0" numFmtId="2"/>
    <dataField name="Sum of Debt-to-Equity" fld="2" baseField="0" baseItem="0" numFmtId="2"/>
    <dataField name="Sum of Operating Margin" fld="1" baseField="0" baseItem="0" numFmtId="10"/>
    <dataField name="Sum of Return On Equity" fld="5" baseField="0" baseItem="0" numFmtId="10"/>
  </dataFields>
  <formats count="2">
    <format dxfId="173">
      <pivotArea outline="0" collapsedLevelsAreSubtotals="1" fieldPosition="0">
        <references count="1">
          <reference field="4294967294" count="1" selected="0">
            <x v="4"/>
          </reference>
        </references>
      </pivotArea>
    </format>
    <format dxfId="17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286C10-B97A-554B-9D20-5489194A253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2" firstHeaderRow="0" firstDataRow="1" firstDataCol="1"/>
  <pivotFields count="3">
    <pivotField axis="axisRow" showAll="0">
      <items count="9">
        <item x="0"/>
        <item x="1"/>
        <item x="2"/>
        <item x="3"/>
        <item x="4"/>
        <item x="5"/>
        <item x="6"/>
        <item x="7"/>
        <item t="default"/>
      </items>
    </pivotField>
    <pivotField dataField="1" showAll="0"/>
    <pivotField dataField="1" showAll="0"/>
  </pivotFields>
  <rowFields count="1">
    <field x="0"/>
  </rowFields>
  <rowItems count="9">
    <i>
      <x/>
    </i>
    <i>
      <x v="1"/>
    </i>
    <i>
      <x v="2"/>
    </i>
    <i>
      <x v="3"/>
    </i>
    <i>
      <x v="4"/>
    </i>
    <i>
      <x v="5"/>
    </i>
    <i>
      <x v="6"/>
    </i>
    <i>
      <x v="7"/>
    </i>
    <i t="grand">
      <x/>
    </i>
  </rowItems>
  <colFields count="1">
    <field x="-2"/>
  </colFields>
  <colItems count="2">
    <i>
      <x/>
    </i>
    <i i="1">
      <x v="1"/>
    </i>
  </colItems>
  <dataFields count="2">
    <dataField name="Actual" fld="1" baseField="0" baseItem="0"/>
    <dataField name="Forecast" fld="2"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1"/>
          </reference>
          <reference field="0" count="1" selected="0">
            <x v="7"/>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0" count="1" selected="0">
            <x v="7"/>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 chart="3" format="10" series="1">
      <pivotArea type="data" outline="0" fieldPosition="0">
        <references count="1">
          <reference field="4294967294" count="1" selected="0">
            <x v="1"/>
          </reference>
        </references>
      </pivotArea>
    </chartFormat>
    <chartFormat chart="3" format="11">
      <pivotArea type="data" outline="0" fieldPosition="0">
        <references count="2">
          <reference field="4294967294" count="1" selected="0">
            <x v="1"/>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0C2D38-7194-BE44-AEDB-7B8F73B233C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3">
    <pivotField axis="axisPage" showAll="0">
      <items count="6">
        <item x="4"/>
        <item x="3"/>
        <item x="2"/>
        <item x="1"/>
        <item x="0"/>
        <item t="default"/>
      </items>
    </pivotField>
    <pivotField axis="axisRow" showAll="0">
      <items count="6">
        <item x="2"/>
        <item x="4"/>
        <item x="3"/>
        <item x="0"/>
        <item x="1"/>
        <item t="default"/>
      </items>
    </pivotField>
    <pivotField dataField="1" numFmtId="166" showAll="0"/>
  </pivotFields>
  <rowFields count="1">
    <field x="1"/>
  </rowFields>
  <rowItems count="6">
    <i>
      <x/>
    </i>
    <i>
      <x v="1"/>
    </i>
    <i>
      <x v="2"/>
    </i>
    <i>
      <x v="3"/>
    </i>
    <i>
      <x v="4"/>
    </i>
    <i t="grand">
      <x/>
    </i>
  </rowItems>
  <colItems count="1">
    <i/>
  </colItems>
  <pageFields count="1">
    <pageField fld="0" item="2" hier="-1"/>
  </pageFields>
  <dataFields count="1">
    <dataField name="Sum of Amount" fld="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684922-DD0E-154A-847D-3F6399A1E42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1" firstDataRow="2" firstDataCol="1"/>
  <pivotFields count="3">
    <pivotField axis="axisRow" showAll="0">
      <items count="6">
        <item x="0"/>
        <item x="1"/>
        <item x="2"/>
        <item x="3"/>
        <item x="4"/>
        <item t="default"/>
      </items>
    </pivotField>
    <pivotField axis="axisCol" showAll="0">
      <items count="6">
        <item h="1" x="1"/>
        <item h="1" x="2"/>
        <item x="4"/>
        <item h="1" x="3"/>
        <item x="0"/>
        <item t="default"/>
      </items>
    </pivotField>
    <pivotField dataField="1" numFmtId="10" showAll="0"/>
  </pivotFields>
  <rowFields count="1">
    <field x="0"/>
  </rowFields>
  <rowItems count="6">
    <i>
      <x/>
    </i>
    <i>
      <x v="1"/>
    </i>
    <i>
      <x v="2"/>
    </i>
    <i>
      <x v="3"/>
    </i>
    <i>
      <x v="4"/>
    </i>
    <i t="grand">
      <x/>
    </i>
  </rowItems>
  <colFields count="1">
    <field x="1"/>
  </colFields>
  <colItems count="3">
    <i>
      <x v="2"/>
    </i>
    <i>
      <x v="4"/>
    </i>
    <i t="grand">
      <x/>
    </i>
  </colItems>
  <dataFields count="1">
    <dataField name="Sum of Operating Margin" fld="2" baseField="0" baseItem="0" numFmtId="10"/>
  </dataFields>
  <chartFormats count="9">
    <chartFormat chart="5" format="16" series="1">
      <pivotArea type="data" outline="0" fieldPosition="0">
        <references count="2">
          <reference field="4294967294" count="1" selected="0">
            <x v="0"/>
          </reference>
          <reference field="1" count="1" selected="0">
            <x v="2"/>
          </reference>
        </references>
      </pivotArea>
    </chartFormat>
    <chartFormat chart="5" format="17">
      <pivotArea type="data" outline="0" fieldPosition="0">
        <references count="3">
          <reference field="4294967294" count="1" selected="0">
            <x v="0"/>
          </reference>
          <reference field="0" count="1" selected="0">
            <x v="0"/>
          </reference>
          <reference field="1" count="1" selected="0">
            <x v="2"/>
          </reference>
        </references>
      </pivotArea>
    </chartFormat>
    <chartFormat chart="5" format="18" series="1">
      <pivotArea type="data" outline="0" fieldPosition="0">
        <references count="2">
          <reference field="4294967294" count="1" selected="0">
            <x v="0"/>
          </reference>
          <reference field="1" count="1" selected="0">
            <x v="4"/>
          </reference>
        </references>
      </pivotArea>
    </chartFormat>
    <chartFormat chart="5" format="19">
      <pivotArea type="data" outline="0" fieldPosition="0">
        <references count="3">
          <reference field="4294967294" count="1" selected="0">
            <x v="0"/>
          </reference>
          <reference field="0" count="1" selected="0">
            <x v="0"/>
          </reference>
          <reference field="1" count="1" selected="0">
            <x v="4"/>
          </reference>
        </references>
      </pivotArea>
    </chartFormat>
    <chartFormat chart="5" format="20">
      <pivotArea type="data" outline="0" fieldPosition="0">
        <references count="3">
          <reference field="4294967294" count="1" selected="0">
            <x v="0"/>
          </reference>
          <reference field="0" count="1" selected="0">
            <x v="1"/>
          </reference>
          <reference field="1" count="1" selected="0">
            <x v="4"/>
          </reference>
        </references>
      </pivotArea>
    </chartFormat>
    <chartFormat chart="5" format="21">
      <pivotArea type="data" outline="0" fieldPosition="0">
        <references count="3">
          <reference field="4294967294" count="1" selected="0">
            <x v="0"/>
          </reference>
          <reference field="0" count="1" selected="0">
            <x v="2"/>
          </reference>
          <reference field="1" count="1" selected="0">
            <x v="4"/>
          </reference>
        </references>
      </pivotArea>
    </chartFormat>
    <chartFormat chart="5" format="22" series="1">
      <pivotArea type="data" outline="0" fieldPosition="0">
        <references count="2">
          <reference field="4294967294" count="1" selected="0">
            <x v="0"/>
          </reference>
          <reference field="1" count="1" selected="0">
            <x v="3"/>
          </reference>
        </references>
      </pivotArea>
    </chartFormat>
    <chartFormat chart="5" format="23" series="1">
      <pivotArea type="data" outline="0" fieldPosition="0">
        <references count="2">
          <reference field="4294967294" count="1" selected="0">
            <x v="0"/>
          </reference>
          <reference field="1" count="1" selected="0">
            <x v="1"/>
          </reference>
        </references>
      </pivotArea>
    </chartFormat>
    <chartFormat chart="5" format="2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ity" xr10:uid="{678BECD8-58B0-DA48-9EFA-47F67C4E4E97}" sourceName="Entity">
  <pivotTables>
    <pivotTable tabId="23" name="PivotTable4"/>
  </pivotTables>
  <data>
    <tabular pivotCacheId="1002637246">
      <items count="5">
        <i x="1"/>
        <i x="2"/>
        <i x="4" s="1"/>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54DC75A-0381-BF47-8BC5-2D34A11B67B8}" sourceName="Year">
  <pivotTables>
    <pivotTable tabId="30" name="PivotTable2"/>
  </pivotTables>
  <data>
    <tabular pivotCacheId="2021473258">
      <items count="5">
        <i x="4"/>
        <i x="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porting_period" xr10:uid="{46A28A61-33BC-2D48-B65F-D31422F7BE47}" sourceName="Perporting period ">
  <pivotTables>
    <pivotTable tabId="18" name="PivotTable1"/>
  </pivotTables>
  <data>
    <tabular pivotCacheId="1455237582">
      <items count="5">
        <i x="4"/>
        <i x="3"/>
        <i x="2" s="1"/>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B7EDB0-161D-AD4A-8FDD-40172A16FF89}" sourceName="Year">
  <pivotTables>
    <pivotTable tabId="27" name="PivotTable1"/>
  </pivotTables>
  <data>
    <tabular pivotCacheId="897932419">
      <items count="5">
        <i x="4"/>
        <i x="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tity" xr10:uid="{9AAFF0E6-C9C3-5B42-B2FA-0F8270F39E02}" cache="Slicer_Entity" caption="Entity" columnCount="5" showCaption="0" style="SlicerStyleOther1" rowHeight="251883"/>
  <slicer name="Year 1" xr10:uid="{C08F0C03-7289-6A48-A63B-A886BBC4BBE7}" cache="Slicer_Year1" caption="Year" columnCount="5" showCaption="0" style="SlicerStyleOther1" rowHeight="251883"/>
  <slicer name="KPIs" xr10:uid="{97FFFF53-1D09-B541-9B63-5A51AC146445}" cache="Slicer_Perporting_period" caption="KPIs " columnCount="5" style="SlicerStyleOther1" rowHeight="251883"/>
  <slicer name="Year" xr10:uid="{1D8270D0-97CC-D048-873A-17AE7339F848}" cache="Slicer_Year" caption="Year" columnCount="5" showCaption="0" style="SlicerStyleOth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51F246-80F6-8D4A-9D0E-C6F020D59A49}" name="Table2" displayName="Table2" ref="A1:AD7" totalsRowShown="0" headerRowDxfId="171" dataDxfId="170" headerRowCellStyle="Normal 2" dataCellStyle="Normal 2">
  <autoFilter ref="A1:AD7" xr:uid="{3E51F246-80F6-8D4A-9D0E-C6F020D59A49}"/>
  <tableColumns count="30">
    <tableColumn id="1" xr3:uid="{2023766A-D308-AB4E-973B-4D5BB5505AA3}" name="Reporting Period Ending 31 May:" dataDxfId="169" dataCellStyle="Normal 2"/>
    <tableColumn id="2" xr3:uid="{CDA1B117-0876-0D4E-8C6A-03DCD9E4D4FC}" name="Revenue" dataDxfId="168" dataCellStyle="Normal 2"/>
    <tableColumn id="3" xr3:uid="{93909436-A395-C644-A9C1-2910CBF9024C}" name="Cost of Revenue" dataDxfId="167" dataCellStyle="Normal 2"/>
    <tableColumn id="4" xr3:uid="{28EC00DA-528C-D343-A435-8A63EC8FA117}" name="Gross Profit" dataDxfId="166" dataCellStyle="Normal 2"/>
    <tableColumn id="5" xr3:uid="{B97D9533-90A1-144E-8E06-1EE28791F37F}" name=" Operating Expenses " dataDxfId="165" dataCellStyle="Normal 2"/>
    <tableColumn id="6" xr3:uid="{7AD7D8A4-0B22-4E4F-838F-D8C5A9D92FFE}" name="Research &amp; Development" dataDxfId="164" dataCellStyle="Normal 2"/>
    <tableColumn id="7" xr3:uid="{F5685F06-1BD0-9645-8EFD-E2C433AF6435}" name="Selling, General and Administrative" dataDxfId="163" dataCellStyle="Normal 2"/>
    <tableColumn id="8" xr3:uid="{A28DE7E5-96AE-F640-A9E0-343E6F547734}" name="Other Operating Expenses" dataDxfId="162" dataCellStyle="Normal 2"/>
    <tableColumn id="9" xr3:uid="{08F8C4D7-FA63-CD45-AF1B-D068B8E81A0B}" name="Operating Income" dataDxfId="161" dataCellStyle="Normal 2"/>
    <tableColumn id="10" xr3:uid="{4A9F58B1-7A54-8546-9155-858CD74E0950}" name="Net Non-Operating Interest" dataDxfId="160" dataCellStyle="Normal 2"/>
    <tableColumn id="11" xr3:uid="{EA3802A5-96F2-E840-B362-9DA271518A6D}" name="Interest Income" dataDxfId="159" dataCellStyle="Normal 2"/>
    <tableColumn id="12" xr3:uid="{FFFF7E31-5656-974B-A45E-57C31F2FEDB4}" name="Interest Expense" dataDxfId="158" dataCellStyle="Normal 2"/>
    <tableColumn id="13" xr3:uid="{95F640F2-B6EE-2045-9B93-9C9EC6CD1568}" name="Equity &amp; Other Income/(Expense)" dataDxfId="157" dataCellStyle="Normal 2"/>
    <tableColumn id="14" xr3:uid="{2EE07A24-9881-C44F-95DE-332DFA3623D2}" name="Income Before Tax" dataDxfId="156" dataCellStyle="Normal 2"/>
    <tableColumn id="15" xr3:uid="{1FB75FF9-B3EA-6540-AD72-6D0C5F5E7015}" name="Income Tax Expense" dataDxfId="155" dataCellStyle="Normal 2"/>
    <tableColumn id="16" xr3:uid="{CD731F8E-D2F4-8C4A-B753-4CBFAC11E30E}" name="Income Attributable to Non-Controlling Interest" dataDxfId="154" dataCellStyle="Normal 2"/>
    <tableColumn id="17" xr3:uid="{5C1DE62A-AE9D-0243-A42C-E6E6BC7BD16E}" name="Net Income" dataDxfId="153" dataCellStyle="Normal 2"/>
    <tableColumn id="18" xr3:uid="{A477E347-9DE7-0747-8731-93B87052D3C6}" name="Depreciation and Amortization" dataDxfId="152" dataCellStyle="Normal 2"/>
    <tableColumn id="19" xr3:uid="{028529C3-1DCE-724A-8991-9818DC399357}" name="EBITDA" dataDxfId="151" dataCellStyle="Normal 2"/>
    <tableColumn id="20" xr3:uid="{511EE21F-04A8-804D-8339-486DAB2BA89F}" name="Earnings Per Share (EPS)" dataDxfId="150" dataCellStyle="Normal 2"/>
    <tableColumn id="21" xr3:uid="{F0649E26-44E1-1948-A3BD-44D93AF62335}" name="Diluted Earnings Per Share" dataDxfId="149" dataCellStyle="Normal 2"/>
    <tableColumn id="22" xr3:uid="{BC73AD11-3CD0-8842-A4DB-DB8F9CF9E24B}" name="Weighted Average Shares Outstanding" dataDxfId="148" dataCellStyle="Normal 2"/>
    <tableColumn id="23" xr3:uid="{599B1FE6-A941-5144-82FC-4EEDCD6C177D}" name="Diluted Weighted Average Shares Outstanding" dataDxfId="18" dataCellStyle="Normal 2"/>
    <tableColumn id="24" xr3:uid="{0BD07D1C-F5A2-BC42-97A3-3BEFA1528176}" name="Gross Margin" dataDxfId="16" dataCellStyle="Per cent">
      <calculatedColumnFormula>Table2[[#This Row],[Gross Profit]]/Table2[[#This Row],[Revenue]]</calculatedColumnFormula>
    </tableColumn>
    <tableColumn id="25" xr3:uid="{28DC52E1-AC69-E446-8E0F-4754F966C75D}" name="Operating Margin" dataDxfId="17" dataCellStyle="Per cent">
      <calculatedColumnFormula>Table2[[#This Row],[Operating Income]]/Table2[[#This Row],[Revenue]]</calculatedColumnFormula>
    </tableColumn>
    <tableColumn id="26" xr3:uid="{D80B7FD4-CC5D-654D-9711-1C8963940DE4}" name="Net Profit Margin" dataDxfId="147" dataCellStyle="Per cent">
      <calculatedColumnFormula>Table2[[#This Row],[Net Income]]/Table2[[#This Row],[Revenue]]</calculatedColumnFormula>
    </tableColumn>
    <tableColumn id="27" xr3:uid="{FEBFD9A7-6E15-5845-A4C8-DE4081055C22}" name="Average Total assets" dataDxfId="146" dataCellStyle="Normal 2">
      <calculatedColumnFormula>(Table1[[#This Row],[Total Assets]]+'BS ANALYSIS'!I3)/2</calculatedColumnFormula>
    </tableColumn>
    <tableColumn id="28" xr3:uid="{33A3672D-0F93-354E-B145-12110414DE22}" name="ROA" dataDxfId="145" dataCellStyle="Per cent">
      <calculatedColumnFormula>Table2[[#This Row],[Net Income]]/Table2[[#This Row],[Average Total assets]]</calculatedColumnFormula>
    </tableColumn>
    <tableColumn id="29" xr3:uid="{41A0143E-03D5-EB45-B68B-4A69AA9EFB71}" name="Average equity" dataDxfId="144" dataCellStyle="Normal 2">
      <calculatedColumnFormula>(Table1[[#This Row],[Total Equity]]+'BS ANALYSIS'!AE3)/2</calculatedColumnFormula>
    </tableColumn>
    <tableColumn id="30" xr3:uid="{1B560F5E-3708-1C42-9CC4-3A50E4D0A08E}" name="ROE" dataDxfId="143" dataCellStyle="Per cent">
      <calculatedColumnFormula>Table2[[#This Row],[Net Income]]/Table2[[#This Row],[Average equity]]</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2194B5-3005-7C45-8AEA-F20D2DA3F7ED}" name="Table5" displayName="Table5" ref="A1:P7" totalsRowShown="0" headerRowDxfId="48" dataDxfId="47">
  <autoFilter ref="A1:P7" xr:uid="{4A2194B5-3005-7C45-8AEA-F20D2DA3F7ED}"/>
  <tableColumns count="16">
    <tableColumn id="1" xr3:uid="{512A2607-199D-9A45-9647-AD4628C7A4B6}" name="Reporting Period Ending 31 May:" dataDxfId="46">
      <calculatedColumnFormula>Table2[[#This Row],[Reporting Period Ending 31 May:]]</calculatedColumnFormula>
    </tableColumn>
    <tableColumn id="2" xr3:uid="{238150C9-57D1-AA4D-A356-93EEB8A52278}" name="Revenue" dataDxfId="45">
      <calculatedColumnFormula>Table2[[#This Row],[Revenue]]</calculatedColumnFormula>
    </tableColumn>
    <tableColumn id="3" xr3:uid="{EBC17E95-F163-F547-91C0-84868EE1789C}" name="YoY ▲" dataDxfId="44">
      <calculatedColumnFormula>(Table2[[#This Row],[Revenue]]-'IS ANALYSIS'!B3)</calculatedColumnFormula>
    </tableColumn>
    <tableColumn id="4" xr3:uid="{6884D6BE-6D9F-1F41-A046-264320381137}" name="YoY %" dataDxfId="43">
      <calculatedColumnFormula>(Table2[[#This Row],[Revenue]]-'IS ANALYSIS'!B3)/'IS ANALYSIS'!B3</calculatedColumnFormula>
    </tableColumn>
    <tableColumn id="13" xr3:uid="{9A424D8C-9F97-224C-A916-FE7E41E5FBF9}" name="Cost of Sales" dataDxfId="42">
      <calculatedColumnFormula>Table2[[#This Row],[Cost of Revenue]]</calculatedColumnFormula>
    </tableColumn>
    <tableColumn id="12" xr3:uid="{E959C821-1BE8-6D43-B30A-5B3237E858D8}" name="YoY ▲3" dataDxfId="41">
      <calculatedColumnFormula>Table2[[#This Row],[Cost of Revenue]]-'IS ANALYSIS'!C3</calculatedColumnFormula>
    </tableColumn>
    <tableColumn id="11" xr3:uid="{E58C5BCD-2262-F046-A44C-B7799F0720AC}" name="YoY %2" dataDxfId="40">
      <calculatedColumnFormula>(Table2[[#This Row],[Cost of Revenue]]-'IS ANALYSIS'!C3)/'IS ANALYSIS'!C3</calculatedColumnFormula>
    </tableColumn>
    <tableColumn id="5" xr3:uid="{0A278AF2-F288-F048-A256-606312F475F2}" name="Gross Profit" dataDxfId="39">
      <calculatedColumnFormula>Table2[[#This Row],[Gross Profit]]</calculatedColumnFormula>
    </tableColumn>
    <tableColumn id="6" xr3:uid="{6D8720E4-0854-5A45-ADD9-4DDD65137707}" name="YoY ▲2" dataDxfId="38">
      <calculatedColumnFormula>Table2[[#This Row],[Gross Profit]]-'IS ANALYSIS'!D3</calculatedColumnFormula>
    </tableColumn>
    <tableColumn id="7" xr3:uid="{979B3CCD-D15E-2F49-8F24-A17C910EC2E1}" name="YoY %3" dataDxfId="37" dataCellStyle="Per cent">
      <calculatedColumnFormula>(Table2[[#This Row],[Gross Profit]]-'IS ANALYSIS'!D3)/'IS ANALYSIS'!D3</calculatedColumnFormula>
    </tableColumn>
    <tableColumn id="8" xr3:uid="{4D43A977-B3AF-514F-8149-66AC1159EC72}" name="Operating Income" dataDxfId="36">
      <calculatedColumnFormula>Table2[[#This Row],[Operating Income]]</calculatedColumnFormula>
    </tableColumn>
    <tableColumn id="9" xr3:uid="{906CDB1D-33E1-3C4E-A312-FB7077FE7BC8}" name="YoY ▲4" dataDxfId="35">
      <calculatedColumnFormula>Table2[[#This Row],[Operating Income]]-'IS ANALYSIS'!I3</calculatedColumnFormula>
    </tableColumn>
    <tableColumn id="10" xr3:uid="{84F794E7-1ED2-7447-B9F4-5A81B6485325}" name="YoY %5" dataDxfId="34" dataCellStyle="Per cent">
      <calculatedColumnFormula>(Table2[[#This Row],[Operating Income]]-'IS ANALYSIS'!I3)/'IS ANALYSIS'!I3</calculatedColumnFormula>
    </tableColumn>
    <tableColumn id="14" xr3:uid="{78890A86-4558-8D48-BC0F-0023464151E4}" name="Net Income" dataDxfId="33">
      <calculatedColumnFormula>Table2[[#This Row],[Net Income]]</calculatedColumnFormula>
    </tableColumn>
    <tableColumn id="15" xr3:uid="{CBDCB731-AD82-B34F-B929-0FA3BB6892C1}" name="YoY ▲5" dataDxfId="32">
      <calculatedColumnFormula>Table2[[#This Row],[Net Income]]-'IS ANALYSIS'!Q3</calculatedColumnFormula>
    </tableColumn>
    <tableColumn id="16" xr3:uid="{14CE51F9-2912-AA4D-A9D7-4DED048A4B6C}" name="YoY %4" dataDxfId="31">
      <calculatedColumnFormula>(Table2[[#This Row],[Net Income]]-'IS ANALYSIS'!Q3)/'IS ANALYSIS'!Q3</calculatedColumnFormula>
    </tableColumn>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9044C2D-10F0-C64B-A63A-99593F27D923}" name="Table8" displayName="Table8" ref="A1:F6" totalsRowShown="0">
  <autoFilter ref="A1:F6" xr:uid="{09044C2D-10F0-C64B-A63A-99593F27D923}"/>
  <tableColumns count="6">
    <tableColumn id="1" xr3:uid="{5352ADEF-7321-F046-AB5E-7CE4CAFEDAFC}" name="Reporting period"/>
    <tableColumn id="2" xr3:uid="{7EEFE072-38F9-5E49-8A86-32CFDA32D39B}" name="Prior Year NI (USD Billions) △">
      <calculatedColumnFormula>'VARIANCE ANALYSIS'!N3</calculatedColumnFormula>
    </tableColumn>
    <tableColumn id="3" xr3:uid="{4D54A2D8-529F-2A43-A1F9-600B69845278}" name="Rev Change (USD Billions) △">
      <calculatedColumnFormula>Table5[[#This Row],[YoY ▲]]</calculatedColumnFormula>
    </tableColumn>
    <tableColumn id="4" xr3:uid="{A2104A1E-ECE8-FA4A-97E9-EA5F46798A29}" name="COGS Efficiency △" dataDxfId="30">
      <calculatedColumnFormula>Table5[[#This Row],[YoY ▲3]]</calculatedColumnFormula>
    </tableColumn>
    <tableColumn id="5" xr3:uid="{9138ADCA-63E8-444A-A035-F4902448FD74}" name="OpEx Efficiency △" dataDxfId="29">
      <calculatedColumnFormula>Table2[[#This Row],[ Operating Expenses ]]-'IS ANALYSIS'!E3</calculatedColumnFormula>
    </tableColumn>
    <tableColumn id="6" xr3:uid="{3CC5824E-EEAD-5348-84B9-9B7DB121A1C0}" name="Impact on Current NI (USD Billions) △">
      <calculatedColumnFormula>Table5[[#This Row],[Net Income]]</calculatedColumnFormula>
    </tableColumn>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2A43B6-9060-8C4A-AA63-218A5F912566}" name="Table1" displayName="Table1" ref="A1:AU7" totalsRowShown="0" headerRowDxfId="142" dataDxfId="141" headerRowCellStyle="Normal 2" dataCellStyle="Normal 2">
  <autoFilter ref="A1:AU7" xr:uid="{272A43B6-9060-8C4A-AA63-218A5F912566}"/>
  <tableColumns count="47">
    <tableColumn id="1" xr3:uid="{6149F827-A76F-5546-8D92-967E0E0599B9}" name="Reporting Period Ending: 31 May" dataDxfId="140" dataCellStyle="Normal 2"/>
    <tableColumn id="2" xr3:uid="{F5B64047-8532-6748-B582-53A050A70CAE}" name="Total Current Assets" dataDxfId="139" dataCellStyle="Normal 2"/>
    <tableColumn id="3" xr3:uid="{D9131D6F-9EB6-D344-85F2-0DD5FFAFBAB1}" name="Cash and Short Term Investments" dataDxfId="138" dataCellStyle="Normal 2"/>
    <tableColumn id="4" xr3:uid="{DCFE0D0D-29FB-0B4C-8CB1-CFD83E2C6871}" name="Cash &amp; Equivalents" dataDxfId="137" dataCellStyle="Normal 2"/>
    <tableColumn id="5" xr3:uid="{AFA090A7-1A09-E54F-BE00-38344B2454B0}" name="Short Term Investments" dataDxfId="136" dataCellStyle="Normal 2"/>
    <tableColumn id="6" xr3:uid="{81994C49-C8EF-EC44-B07B-43C1B3F80D7C}" name="Receivables" dataDxfId="135" dataCellStyle="Normal 2"/>
    <tableColumn id="7" xr3:uid="{9F7D6F9A-CD3A-BB4F-B294-C03B408A8DD5}" name="Inventory" dataDxfId="134" dataCellStyle="Normal 2"/>
    <tableColumn id="8" xr3:uid="{41ABA4E4-F608-644F-A0A6-A40015017965}" name="Other Current Assets" dataDxfId="133" dataCellStyle="Normal 2"/>
    <tableColumn id="9" xr3:uid="{EA544DFC-5DE2-804F-A245-49A046342732}" name="Total Assets" dataDxfId="132" dataCellStyle="Normal 2"/>
    <tableColumn id="10" xr3:uid="{C38E447E-A652-624F-B52E-0321EC4023BC}" name="Total Non-Current Assets" dataDxfId="131" dataCellStyle="Normal 2"/>
    <tableColumn id="11" xr3:uid="{49EB4DD0-21F3-204F-A8B4-D0A04410515D}" name="Property, Plant and Equipment" dataDxfId="130" dataCellStyle="Normal 2"/>
    <tableColumn id="12" xr3:uid="{9A7131BE-814B-0145-B9E1-4ADFC635D8A4}" name="Goodwill and Intangible Assets" dataDxfId="129" dataCellStyle="Normal 2"/>
    <tableColumn id="13" xr3:uid="{224AD120-AD19-1545-90E7-A6214BA1E2A2}" name="Goodwill" dataDxfId="128" dataCellStyle="Normal 2"/>
    <tableColumn id="14" xr3:uid="{E1E343ED-9C1F-8342-A2C1-48CF7F4EB00C}" name="Intangible Assets" dataDxfId="127" dataCellStyle="Normal 2"/>
    <tableColumn id="15" xr3:uid="{A414A48A-C3E4-C84F-A007-CE80CFE4B3B8}" name="Long Term Investments" dataDxfId="126" dataCellStyle="Normal 2"/>
    <tableColumn id="16" xr3:uid="{D9FB2380-6299-864C-BD82-F4213CCCE7F9}" name="Deferred Tax Assets" dataDxfId="125" dataCellStyle="Normal 2"/>
    <tableColumn id="17" xr3:uid="{23CD6D48-CD7A-E442-A170-FFBD863A8BBD}" name="Other Long Term Assets" dataDxfId="124" dataCellStyle="Normal 2"/>
    <tableColumn id="18" xr3:uid="{99BA8DBD-24EE-F94A-95DD-82A3AA03C712}" name="Total Current Liabilities" dataDxfId="123" dataCellStyle="Normal 2"/>
    <tableColumn id="19" xr3:uid="{1651843E-5BB4-1D4D-BD67-A2D8B69BB90F}" name="Accounts Payable" dataDxfId="122" dataCellStyle="Normal 2"/>
    <tableColumn id="20" xr3:uid="{A42A2CBC-674C-024D-B0EB-EA56F4892548}" name="Notes Payable/Short Term Debt" dataDxfId="121" dataCellStyle="Normal 2"/>
    <tableColumn id="21" xr3:uid="{7347BC08-033A-D74F-B333-B5E55FD4CAC0}" name="Tax Payables" dataDxfId="120" dataCellStyle="Normal 2"/>
    <tableColumn id="22" xr3:uid="{04634A00-DABC-D443-B0E8-FA43170D759F}" name="Deferred Revenue" dataDxfId="119" dataCellStyle="Normal 2"/>
    <tableColumn id="23" xr3:uid="{062A6BE6-3AEA-D740-9040-40F7FA23DB0C}" name="Other Current Liabilities" dataDxfId="118" dataCellStyle="Normal 2"/>
    <tableColumn id="24" xr3:uid="{EAF08870-956C-044E-9537-55000C3B6BB5}" name="Total Liabilities" dataDxfId="117" dataCellStyle="Normal 2"/>
    <tableColumn id="25" xr3:uid="{20409058-2C08-B34A-B0F4-E735102FD844}" name="Total Non-Current Liabilities" dataDxfId="116" dataCellStyle="Normal 2"/>
    <tableColumn id="26" xr3:uid="{DBFCFF74-E42C-4D4F-8A78-62359EB7AF8B}" name="Total Long Term Debt" dataDxfId="115" dataCellStyle="Normal 2"/>
    <tableColumn id="27" xr3:uid="{5A7A7CE7-D112-2B46-9BCC-5C9DF42CACD3}" name="Deferred Tax Liabilities Non-Current" dataDxfId="114" dataCellStyle="Normal 2"/>
    <tableColumn id="28" xr3:uid="{3A51FF54-C865-C64A-ACB1-A7FA9D1B1E33}" name="Deferred Revenue Non-Current" dataDxfId="113" dataCellStyle="Normal 2"/>
    <tableColumn id="29" xr3:uid="{EC64B1C4-5B14-704C-9101-FD84D2605EA5}" name="Capital Lease Obligations" dataDxfId="112" dataCellStyle="Normal 2"/>
    <tableColumn id="30" xr3:uid="{C51A70CA-FA4C-874A-94C2-94E86BA3104E}" name="Other Long Term Liabilities" dataDxfId="111" dataCellStyle="Normal 2"/>
    <tableColumn id="31" xr3:uid="{CBF47277-2D8E-3641-B047-1814C35D6421}" name="Total Equity" dataDxfId="110" dataCellStyle="Normal 2"/>
    <tableColumn id="32" xr3:uid="{AA1C63FE-4549-4E47-885F-9330C2C35D84}" name="Non-Controlling Interest" dataDxfId="109" dataCellStyle="Normal 2"/>
    <tableColumn id="33" xr3:uid="{EDF56E2E-12D8-ED4D-A02B-66DA0B0D2FC3}" name="Total Stockholders' Equity" dataDxfId="108" dataCellStyle="Normal 2"/>
    <tableColumn id="34" xr3:uid="{4F847276-75C1-E54E-B744-407EBE1BF0CE}" name="Retained Earnings" dataDxfId="107" dataCellStyle="Normal 2"/>
    <tableColumn id="35" xr3:uid="{6DD12D5C-EB63-5940-AE3D-B1E08852D5CD}" name="Accumulated Other Earnings" dataDxfId="106" dataCellStyle="Normal 2"/>
    <tableColumn id="36" xr3:uid="{93AC059E-BB38-3740-B902-16D76EBB6991}" name="Common Stock" dataDxfId="105" dataCellStyle="Normal 2"/>
    <tableColumn id="37" xr3:uid="{48AA1971-16B4-D447-BE00-A1FB7183FB4A}" name="Preferred Stock" dataDxfId="104" dataCellStyle="Normal 2"/>
    <tableColumn id="38" xr3:uid="{223620DB-445C-4242-AFDB-01BD1E5D01B7}" name="Additional Paid in Capital" dataDxfId="103" dataCellStyle="Normal 2"/>
    <tableColumn id="39" xr3:uid="{25DDED5E-C0F3-D940-840C-7B64AE4E9A1E}" name="Total Liabilities &amp; Total Equity" dataDxfId="102" dataCellStyle="Normal 2"/>
    <tableColumn id="40" xr3:uid="{CEF11E8E-2B5E-1B40-B2FF-C7FCACF91EC5}" name="Total Liabilities &amp; Shareholders' Equity" dataDxfId="101" dataCellStyle="Normal 2"/>
    <tableColumn id="41" xr3:uid="{0FD4A8AE-ADD9-C443-BF1B-00DA141AC5B2}" name="Total Investments" dataDxfId="100" dataCellStyle="Normal 2"/>
    <tableColumn id="42" xr3:uid="{28F28082-9357-9E4A-9781-623F0C290469}" name="Total Debt" dataDxfId="99" dataCellStyle="Normal 2"/>
    <tableColumn id="43" xr3:uid="{8CA3EE13-6AC6-8B49-AE7B-B4BBFF954A4E}" name="Net Debt" dataDxfId="98" dataCellStyle="Normal 2"/>
    <tableColumn id="44" xr3:uid="{E4C34C82-C6D5-1C4A-A3EE-4946F761CA29}" name="Current ratio" dataDxfId="97" dataCellStyle="Normal 2">
      <calculatedColumnFormula>Table1[[#This Row],[Total Current Assets]]/Table1[[#This Row],[Total Current Liabilities]]</calculatedColumnFormula>
    </tableColumn>
    <tableColumn id="45" xr3:uid="{88DBE4A9-83F3-8A43-AD8E-2B4DBAFA8D07}" name="Working Capital" dataDxfId="96" dataCellStyle="Normal 2">
      <calculatedColumnFormula>Table1[[#This Row],[Total Current Assets]]-Table1[[#This Row],[Total Current Liabilities]]</calculatedColumnFormula>
    </tableColumn>
    <tableColumn id="46" xr3:uid="{2E187066-A526-C749-8F37-12193AD5A60D}" name="Debt-to-Equity" dataDxfId="95" dataCellStyle="Normal 2">
      <calculatedColumnFormula>Table1[[#This Row],[Total Liabilities]]/Table1[[#This Row],[Total Equity]]</calculatedColumnFormula>
    </tableColumn>
    <tableColumn id="47" xr3:uid="{6D6FE604-2469-104A-AAD9-EBAEE541C542}" name="Debit Ratio" dataDxfId="94" dataCellStyle="Normal 2">
      <calculatedColumnFormula>Table1[[#This Row],[Total Liabilities]]/Table1[[#This Row],[Total Assets]]</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7C01F1-56B0-FD49-8FE5-FFFBD491E5B4}" name="Table3" displayName="Table3" ref="A1:AG6" totalsRowShown="0" headerRowDxfId="93" dataDxfId="92" headerRowCellStyle="Normal 2" dataCellStyle="Normal 2">
  <autoFilter ref="A1:AG6" xr:uid="{F97C01F1-56B0-FD49-8FE5-FFFBD491E5B4}"/>
  <tableColumns count="33">
    <tableColumn id="1" xr3:uid="{85A1D94D-081D-9046-A39B-7F61D3DCC56E}" name="Reporting Period Ending: 31 May" dataDxfId="91" dataCellStyle="Normal 2"/>
    <tableColumn id="2" xr3:uid="{AA533C70-C92E-5A44-8DD0-6CE6F7A25389}" name="Net Income/Starting Line" dataDxfId="90" dataCellStyle="Normal 2"/>
    <tableColumn id="3" xr3:uid="{F6667D2E-5243-C74C-B164-343BA6474F46}" name="Cash From Operating Activities" dataDxfId="89" dataCellStyle="Normal 2"/>
    <tableColumn id="4" xr3:uid="{3D8A72CC-EA36-AD4F-97D5-099FF0A4B414}" name="Depreciation and Amortization" dataDxfId="88" dataCellStyle="Normal 2"/>
    <tableColumn id="5" xr3:uid="{AEC75369-F2AF-EF4D-B71C-429B8CA30CA7}" name="Deferred Income Tax" dataDxfId="87" dataCellStyle="Normal 2"/>
    <tableColumn id="6" xr3:uid="{68A4E3F6-E461-D84F-B812-4D1D3EF050B4}" name="Stock Based Compensation" dataDxfId="86" dataCellStyle="Normal 2"/>
    <tableColumn id="7" xr3:uid="{94B403EE-176A-1C40-BAB9-00419D8E3E53}" name="Other Non-Cash Items" dataDxfId="85" dataCellStyle="Normal 2"/>
    <tableColumn id="8" xr3:uid="{B61652AC-B0D2-BB4F-A66B-3B3B21E78316}" name="Changes in Working Capital" dataDxfId="84" dataCellStyle="Normal 2"/>
    <tableColumn id="9" xr3:uid="{E998B8F7-EB76-5F4A-8F9E-23B60702930B}" name="Accounts Receivable" dataDxfId="83" dataCellStyle="Normal 2"/>
    <tableColumn id="10" xr3:uid="{9C090881-9970-864E-9B1A-AECA771A1C13}" name="Inventory" dataDxfId="82" dataCellStyle="Normal 2"/>
    <tableColumn id="11" xr3:uid="{44B34358-7333-4D4A-955B-1F1B29B250DD}" name="Accounts Payable" dataDxfId="81" dataCellStyle="Normal 2"/>
    <tableColumn id="12" xr3:uid="{B307E091-7D17-CF41-B660-7EFFE256887B}" name="Deferred Revenue" dataDxfId="80" dataCellStyle="Normal 2"/>
    <tableColumn id="13" xr3:uid="{3F42BEAD-9A40-F046-B821-A154E79CAA23}" name="Other Working Capital" dataDxfId="79" dataCellStyle="Normal 2"/>
    <tableColumn id="14" xr3:uid="{3641E84B-19ED-214F-8B1B-797708258661}" name="Cash From Investing Activities" dataDxfId="78" dataCellStyle="Normal 2"/>
    <tableColumn id="15" xr3:uid="{DA4D536E-3D05-9148-9BF2-25281AA9DFB0}" name="Investments in Property Plant and Equipment" dataDxfId="77" dataCellStyle="Normal 2"/>
    <tableColumn id="16" xr3:uid="{9B6DD827-BB21-364A-A3C8-D88338ACC191}" name="Payments for Acquisitions" dataDxfId="76" dataCellStyle="Normal 2"/>
    <tableColumn id="17" xr3:uid="{5B32F241-EBDD-8A44-B5D1-B6DEF81318F0}" name="Purchases of Securities" dataDxfId="75" dataCellStyle="Normal 2"/>
    <tableColumn id="18" xr3:uid="{04ACA42F-8458-784E-9D41-1764B6987797}" name="Sales and Maturities of Investments" dataDxfId="74" dataCellStyle="Normal 2"/>
    <tableColumn id="19" xr3:uid="{9A03C09C-5635-9047-9BD3-C0F7B50F5E92}" name="Other Investing Activities" dataDxfId="73" dataCellStyle="Normal 2"/>
    <tableColumn id="20" xr3:uid="{A8E93D8B-C7FC-8943-BA15-70ADF708859C}" name="Cash From Financing Activities" dataDxfId="72" dataCellStyle="Normal 2"/>
    <tableColumn id="21" xr3:uid="{48B43208-477F-114A-8E0F-CDB901934EB7}" name="Debt Repayment" dataDxfId="71" dataCellStyle="Normal 2"/>
    <tableColumn id="22" xr3:uid="{51525B3F-B462-3F42-9EDF-20C7AD80D0A8}" name="Common Stock Issued" dataDxfId="70" dataCellStyle="Normal 2"/>
    <tableColumn id="23" xr3:uid="{5932FBD5-CD3E-E945-B567-401D296CE2BF}" name="Common Stock Repurchased" dataDxfId="69" dataCellStyle="Normal 2"/>
    <tableColumn id="24" xr3:uid="{372EAD2D-8468-0748-8640-059C0ACDB62D}" name="Dividends Paid" dataDxfId="68" dataCellStyle="Normal 2"/>
    <tableColumn id="25" xr3:uid="{3EA08EE8-0DDB-C646-BBB5-81B24F4822CA}" name="Other Financing Activities" dataDxfId="67" dataCellStyle="Normal 2"/>
    <tableColumn id="26" xr3:uid="{A0104643-BA05-4F4B-BA29-D4BE4D94A5BD}" name="Effect of Forex Changes on Cash" dataDxfId="66" dataCellStyle="Normal 2"/>
    <tableColumn id="27" xr3:uid="{4901F532-F0CA-0149-806F-BD575B07ECB4}" name="Net Change in Cash" dataDxfId="65" dataCellStyle="Normal 2"/>
    <tableColumn id="28" xr3:uid="{F060C0C7-2010-264F-947D-C51D1C8AA83B}" name="Cash at Beginning of Period" dataDxfId="64" dataCellStyle="Normal 2"/>
    <tableColumn id="29" xr3:uid="{9145D6B6-F77E-7547-A660-E4C291ABA5BB}" name="Cash at End of Period" dataDxfId="63" dataCellStyle="Normal 2"/>
    <tableColumn id="30" xr3:uid="{F23C3698-7895-6C49-925B-F7DF4CAEDEEE}" name="Free Cash Flow" dataDxfId="62" dataCellStyle="Normal 2"/>
    <tableColumn id="31" xr3:uid="{21EF0D0D-D837-304B-8D53-4D3A1E8021B1}" name="Operating Cash Flow" dataDxfId="61" dataCellStyle="Normal 2"/>
    <tableColumn id="32" xr3:uid="{60B23B08-EBDC-A845-843A-0E3F00330523}" name="Capital Expenditure" dataDxfId="60" dataCellStyle="Normal 2"/>
    <tableColumn id="33" xr3:uid="{B4CDF000-AFE9-9E48-8787-CF3333E3BBEB}" name="Cash flow Quality" dataDxfId="59" dataCellStyle="Normal 2">
      <calculatedColumnFormula xml:space="preserve"> Table3[[#This Row],[Operating Cash Flow]]/Table3[[#This Row],[Net Income/Starting Line]]</calculatedColumnFormula>
    </tableColumn>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465029C-1343-0E4C-9B73-1FDF58DAA45C}" name="Table9" displayName="Table9" ref="A1:C9" totalsRowShown="0">
  <autoFilter ref="A1:C9" xr:uid="{9465029C-1343-0E4C-9B73-1FDF58DAA45C}"/>
  <tableColumns count="3">
    <tableColumn id="1" xr3:uid="{B45F684D-DBFC-FB47-A91F-623FAD515691}" name="Year"/>
    <tableColumn id="2" xr3:uid="{666F210E-9607-2445-BDD4-4187093593E3}" name="Revenue Actual"/>
    <tableColumn id="3" xr3:uid="{E4CC8D06-5280-204C-8EE9-BF86D1E20578}" name="Revenue(Forecast)" dataDxfId="58">
      <calculatedColumnFormula>Table9[[#This Row],[Revenue Actual]]</calculatedColumnFormula>
    </tableColumn>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20F6FB-E7D2-0448-A0EC-185181803EFB}" name="Table4" displayName="Table4" ref="A1:H7" totalsRowShown="0" headerRowDxfId="57" headerRowCellStyle="Normal 2">
  <autoFilter ref="A1:H7" xr:uid="{5C20F6FB-E7D2-0448-A0EC-185181803EFB}"/>
  <tableColumns count="8">
    <tableColumn id="1" xr3:uid="{03DE1E27-3F97-A24C-9F41-3C406AAE2B19}" name="Period Ending:" dataDxfId="56" dataCellStyle="Normal 2"/>
    <tableColumn id="2" xr3:uid="{BFD914EB-DCD9-0740-87B8-77558B2E7ECF}" name=" Dividend per Share " dataDxfId="55">
      <calculatedColumnFormula>_xlfn.NUMBERVALUE('NKE DIVIDENDS'!B9,".",",")</calculatedColumnFormula>
    </tableColumn>
    <tableColumn id="3" xr3:uid="{9AEC38C8-15CB-D643-857D-AD4BDF1C014F}" name="Reference Market Share Price" dataDxfId="54">
      <calculatedColumnFormula>_xlfn.NUMBERVALUE('NKE DIVIDENDS'!C9,".",",")</calculatedColumnFormula>
    </tableColumn>
    <tableColumn id="4" xr3:uid="{15E7A19A-C618-F847-AC56-0FAB5677C4AC}" name="Dividend Yield" dataDxfId="53" dataCellStyle="Per cent">
      <calculatedColumnFormula>_xlfn.NUMBERVALUE('NKE DIVIDENDS'!D9,".",",")</calculatedColumnFormula>
    </tableColumn>
    <tableColumn id="5" xr3:uid="{8F106C01-F622-EB4D-964A-DA7E1A92E9C2}" name="Earnings Per Share" dataDxfId="52">
      <calculatedColumnFormula>_xlfn.NUMBERVALUE('NKE DIVIDENDS'!E9,".",",")</calculatedColumnFormula>
    </tableColumn>
    <tableColumn id="6" xr3:uid="{E553BB99-0677-964F-B2AE-616B9E3EE034}" name="Payout Ratio" dataDxfId="51" dataCellStyle="Per cent">
      <calculatedColumnFormula>_xlfn.NUMBERVALUE('NKE DIVIDENDS'!F9,".",",")</calculatedColumnFormula>
    </tableColumn>
    <tableColumn id="7" xr3:uid="{238DB2F2-F2C5-514B-875D-1B2BE7306A46}" name="Price to earning" dataDxfId="50">
      <calculatedColumnFormula>C2/E2</calculatedColumnFormula>
    </tableColumn>
    <tableColumn id="8" xr3:uid="{1E8D6468-CFCA-3649-94CE-12C623692805}" name="Price-to-Book" dataDxfId="49">
      <calculatedColumnFormula>93.52/Table1[[#This Row],[Total Equity]]</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5236FA8-9202-5543-BE1C-1DE43546173B}" name="Table12" displayName="Table12" ref="A1:B6" totalsRowShown="0">
  <autoFilter ref="A1:B6" xr:uid="{15236FA8-9202-5543-BE1C-1DE43546173B}"/>
  <tableColumns count="2">
    <tableColumn id="1" xr3:uid="{39799A75-700F-554A-88EA-236BBD108EEB}" name="Label"/>
    <tableColumn id="2" xr3:uid="{159F5CB6-9F5D-9B45-AC5B-F474BEADE12B}" name="Amount"/>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665E3F-94F6-AB40-85E2-CF6B4CAE15E8}" name="Table10" displayName="Table10" ref="A8:C33" totalsRowShown="0">
  <autoFilter ref="A8:C33" xr:uid="{4B665E3F-94F6-AB40-85E2-CF6B4CAE15E8}"/>
  <tableColumns count="3">
    <tableColumn id="1" xr3:uid="{19FA9A35-F0BE-AF4A-83AC-A7E73A59353B}" name="Year"/>
    <tableColumn id="2" xr3:uid="{041854F8-08DB-014C-B914-BB788C6E9EED}" name="Entity"/>
    <tableColumn id="3" xr3:uid="{4F719ECB-5D8C-9541-A2E8-98EBB854A17B}" name="Operating Margin" dataDxfId="28"/>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0E6B61-7D56-CD46-9B27-F8E1F350C0BA}" name="Table6" displayName="Table6" ref="A1:F6" totalsRowShown="0">
  <autoFilter ref="A1:F6" xr:uid="{200E6B61-7D56-CD46-9B27-F8E1F350C0BA}"/>
  <tableColumns count="6">
    <tableColumn id="1" xr3:uid="{8B8EE151-2CBE-F04E-BF2C-A1C2FD963D9A}" name="Operating Margin"/>
    <tableColumn id="2" xr3:uid="{E0EB9D50-F75C-8A4E-B3B4-095F83D6424E}" name="2021" dataDxfId="27"/>
    <tableColumn id="3" xr3:uid="{DB653F94-3107-924C-9170-48F0C16F6986}" name="2022" dataDxfId="26"/>
    <tableColumn id="4" xr3:uid="{9731E4DF-E1C1-E24A-999D-951A34E1B9CF}" name="2023" dataDxfId="25"/>
    <tableColumn id="5" xr3:uid="{FFA9500B-5A1A-8B43-BEC2-1425DBE2A993}" name="2024" dataDxfId="24"/>
    <tableColumn id="6" xr3:uid="{ACF19F5F-9332-E843-A75A-B348B96A74C1}" name="2025" dataDxfId="23"/>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DC1C2BC-7538-9242-85A7-62B0675244BD}" name="Table11" displayName="Table11" ref="A1:C26" totalsRowShown="0">
  <autoFilter ref="A1:C26" xr:uid="{CDC1C2BC-7538-9242-85A7-62B0675244BD}"/>
  <tableColumns count="3">
    <tableColumn id="1" xr3:uid="{A845F980-5EF4-054C-8102-0CD679180332}" name="Year"/>
    <tableColumn id="2" xr3:uid="{DE0282E9-54D4-7944-BF82-4CC8B74E3768}" name="Label"/>
    <tableColumn id="3" xr3:uid="{A87CF274-24EB-A84C-9CFB-7C485FDF4AD7}" name="Amount" dataDxfId="22"/>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C378208-5F74-A249-87E9-C2A88D681ED4}" name="Table13" displayName="Table13" ref="A1:C26" totalsRowShown="0">
  <autoFilter ref="A1:C26" xr:uid="{FC378208-5F74-A249-87E9-C2A88D681ED4}"/>
  <tableColumns count="3">
    <tableColumn id="1" xr3:uid="{E1256F4F-1311-A240-A2D4-715E6A1E2D05}" name="Year"/>
    <tableColumn id="2" xr3:uid="{377BF963-B130-E24A-970E-AF87BC197226}" name="Metric" dataDxfId="15"/>
    <tableColumn id="3" xr3:uid="{D1CCC0A1-F30B-4140-8DF5-5F640E5D52F0}" name="Amount" dataDxfId="14"/>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99B4A17-092F-B445-B418-74EC5B672091}" name="Table7" displayName="Table7" ref="A1:H6" totalsRowShown="0">
  <autoFilter ref="A1:H6" xr:uid="{599B4A17-092F-B445-B418-74EC5B672091}"/>
  <tableColumns count="8">
    <tableColumn id="1" xr3:uid="{2CFDAA82-5D91-8644-ADAA-5857E7F89278}" name="Reporting period "/>
    <tableColumn id="2" xr3:uid="{28C06819-E61F-7642-A3F0-776822FDF80A}" name="Operating Margin" dataDxfId="176">
      <calculatedColumnFormula>Table2[[#This Row],[Operating Margin]]</calculatedColumnFormula>
    </tableColumn>
    <tableColumn id="3" xr3:uid="{AA6CCCDA-82AD-1C43-A24A-B251560811EE}" name="Debt-to-Equity" dataDxfId="175">
      <calculatedColumnFormula>Table1[[#This Row],[Debt-to-Equity]]</calculatedColumnFormula>
    </tableColumn>
    <tableColumn id="4" xr3:uid="{55A94EF3-57A1-EF4D-8BFF-40A23A76F33D}" name="Cash Flow Quality" dataDxfId="174">
      <calculatedColumnFormula>Table3[[#This Row],[Cash flow Quality]]</calculatedColumnFormula>
    </tableColumn>
    <tableColumn id="5" xr3:uid="{8D62F96A-0676-FB43-8A81-7187180B8EE8}" name="Free Cash Flow">
      <calculatedColumnFormula>Table3[[#This Row],[Free Cash Flow]]</calculatedColumnFormula>
    </tableColumn>
    <tableColumn id="6" xr3:uid="{B37AD385-2A35-B844-BAE1-61003F2D1D1E}" name="Return On Equity" dataDxfId="21">
      <calculatedColumnFormula>Table2[[#This Row],[ROE]]</calculatedColumnFormula>
    </tableColumn>
    <tableColumn id="7" xr3:uid="{2E308E70-C453-DB44-8AD5-4C9E9A58A90B}" name="Net Income Margin" dataDxfId="20" dataCellStyle="Per cent">
      <calculatedColumnFormula>Table5[[#This Row],[Net Income]]/Table5[[#This Row],[Revenue]]</calculatedColumnFormula>
    </tableColumn>
    <tableColumn id="8" xr3:uid="{4CEFCCAC-3355-904A-9B10-D518FD5E4B9A}" name="Operating Expense" dataDxfId="19" dataCellStyle="Per cent">
      <calculatedColumnFormula>Table2[[#This Row],[ Operating Expenses ]]/Table2[[#This Row],[Revenue]]</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B51EB-C0FB-594B-9B91-1688D5883D77}">
  <dimension ref="A1:AD96"/>
  <sheetViews>
    <sheetView tabSelected="1" zoomScale="70" zoomScaleNormal="70" workbookViewId="0">
      <selection activeCell="AE63" sqref="AE63"/>
    </sheetView>
  </sheetViews>
  <sheetFormatPr baseColWidth="10" defaultRowHeight="16" x14ac:dyDescent="0.2"/>
  <cols>
    <col min="1" max="3" width="10.83203125" style="29"/>
    <col min="4" max="21" width="10.83203125" style="30"/>
    <col min="22" max="22" width="13.83203125" style="30" customWidth="1"/>
    <col min="23" max="23" width="10.83203125" style="30"/>
    <col min="24" max="27" width="10.83203125" style="29"/>
    <col min="28" max="16384" width="10.83203125" style="30"/>
  </cols>
  <sheetData>
    <row r="1" spans="8:30" x14ac:dyDescent="0.2">
      <c r="AB1" s="29"/>
      <c r="AC1" s="29"/>
      <c r="AD1" s="29"/>
    </row>
    <row r="2" spans="8:30" x14ac:dyDescent="0.2">
      <c r="AB2" s="29"/>
      <c r="AC2" s="29"/>
      <c r="AD2" s="29"/>
    </row>
    <row r="3" spans="8:30" x14ac:dyDescent="0.2">
      <c r="AB3" s="29"/>
      <c r="AC3" s="29"/>
      <c r="AD3" s="29"/>
    </row>
    <row r="4" spans="8:30" x14ac:dyDescent="0.2">
      <c r="AB4" s="29"/>
      <c r="AC4" s="29"/>
      <c r="AD4" s="29"/>
    </row>
    <row r="5" spans="8:30" x14ac:dyDescent="0.2">
      <c r="AB5" s="29"/>
      <c r="AC5" s="29"/>
      <c r="AD5" s="29"/>
    </row>
    <row r="6" spans="8:30" x14ac:dyDescent="0.2">
      <c r="AB6" s="29"/>
      <c r="AC6" s="29"/>
      <c r="AD6" s="29"/>
    </row>
    <row r="7" spans="8:30" x14ac:dyDescent="0.2">
      <c r="AB7" s="29"/>
      <c r="AC7" s="29"/>
      <c r="AD7" s="29"/>
    </row>
    <row r="8" spans="8:30" x14ac:dyDescent="0.2">
      <c r="AB8" s="29"/>
      <c r="AC8" s="29"/>
      <c r="AD8" s="29"/>
    </row>
    <row r="9" spans="8:30" x14ac:dyDescent="0.2">
      <c r="AB9" s="29"/>
      <c r="AC9" s="29"/>
      <c r="AD9" s="29"/>
    </row>
    <row r="10" spans="8:30" x14ac:dyDescent="0.2">
      <c r="AB10" s="29"/>
      <c r="AC10" s="29"/>
      <c r="AD10" s="29"/>
    </row>
    <row r="11" spans="8:30" x14ac:dyDescent="0.2">
      <c r="H11" s="30" t="s">
        <v>913</v>
      </c>
      <c r="AB11" s="29"/>
      <c r="AC11" s="29"/>
      <c r="AD11" s="29"/>
    </row>
    <row r="12" spans="8:30" x14ac:dyDescent="0.2">
      <c r="X12" s="30"/>
      <c r="Y12" s="30"/>
      <c r="Z12" s="30"/>
      <c r="AA12" s="30"/>
    </row>
    <row r="13" spans="8:30" x14ac:dyDescent="0.2">
      <c r="X13" s="30"/>
      <c r="Y13" s="30"/>
      <c r="Z13" s="30"/>
      <c r="AA13" s="30"/>
    </row>
    <row r="14" spans="8:30" x14ac:dyDescent="0.2">
      <c r="X14" s="30"/>
      <c r="Y14" s="30"/>
      <c r="Z14" s="30"/>
      <c r="AA14" s="30"/>
    </row>
    <row r="15" spans="8:30" x14ac:dyDescent="0.2">
      <c r="X15" s="30"/>
      <c r="Y15" s="30"/>
      <c r="Z15" s="30"/>
      <c r="AA15" s="30"/>
    </row>
    <row r="16" spans="8:30" x14ac:dyDescent="0.2">
      <c r="X16" s="30"/>
      <c r="Y16" s="30"/>
      <c r="Z16" s="30"/>
      <c r="AA16" s="30"/>
    </row>
    <row r="17" spans="13:27" x14ac:dyDescent="0.2">
      <c r="X17" s="30"/>
      <c r="Y17" s="30"/>
      <c r="Z17" s="30"/>
      <c r="AA17" s="30"/>
    </row>
    <row r="18" spans="13:27" x14ac:dyDescent="0.2">
      <c r="X18" s="30"/>
      <c r="Y18" s="30"/>
      <c r="Z18" s="30"/>
      <c r="AA18" s="30"/>
    </row>
    <row r="19" spans="13:27" x14ac:dyDescent="0.2">
      <c r="X19" s="30"/>
      <c r="Y19" s="30"/>
      <c r="Z19" s="30"/>
      <c r="AA19" s="30"/>
    </row>
    <row r="20" spans="13:27" x14ac:dyDescent="0.2">
      <c r="X20" s="30"/>
      <c r="Y20" s="30"/>
      <c r="Z20" s="30"/>
      <c r="AA20" s="30"/>
    </row>
    <row r="21" spans="13:27" x14ac:dyDescent="0.2">
      <c r="X21" s="30"/>
      <c r="Y21" s="30"/>
      <c r="Z21" s="30"/>
      <c r="AA21" s="30"/>
    </row>
    <row r="22" spans="13:27" x14ac:dyDescent="0.2">
      <c r="X22" s="30"/>
      <c r="Y22" s="30"/>
      <c r="Z22" s="30"/>
      <c r="AA22" s="30"/>
    </row>
    <row r="23" spans="13:27" x14ac:dyDescent="0.2">
      <c r="X23" s="30"/>
      <c r="Y23" s="30"/>
      <c r="Z23" s="30"/>
      <c r="AA23" s="30"/>
    </row>
    <row r="24" spans="13:27" x14ac:dyDescent="0.2">
      <c r="M24" s="33"/>
      <c r="X24" s="30"/>
      <c r="Y24" s="30"/>
      <c r="Z24" s="30"/>
      <c r="AA24" s="30"/>
    </row>
    <row r="25" spans="13:27" x14ac:dyDescent="0.2">
      <c r="X25" s="30"/>
      <c r="Y25" s="30"/>
      <c r="Z25" s="30"/>
      <c r="AA25" s="30"/>
    </row>
    <row r="26" spans="13:27" x14ac:dyDescent="0.2">
      <c r="X26" s="30"/>
      <c r="Y26" s="30"/>
      <c r="Z26" s="30"/>
      <c r="AA26" s="30"/>
    </row>
    <row r="27" spans="13:27" x14ac:dyDescent="0.2">
      <c r="X27" s="30"/>
      <c r="Y27" s="30"/>
      <c r="Z27" s="30"/>
      <c r="AA27" s="30"/>
    </row>
    <row r="28" spans="13:27" x14ac:dyDescent="0.2">
      <c r="X28" s="30"/>
      <c r="Y28" s="30"/>
      <c r="Z28" s="30"/>
      <c r="AA28" s="30"/>
    </row>
    <row r="29" spans="13:27" x14ac:dyDescent="0.2">
      <c r="X29" s="30"/>
      <c r="Y29" s="30"/>
      <c r="Z29" s="30"/>
      <c r="AA29" s="30"/>
    </row>
    <row r="30" spans="13:27" x14ac:dyDescent="0.2">
      <c r="X30" s="30"/>
      <c r="Y30" s="30"/>
      <c r="Z30" s="30"/>
      <c r="AA30" s="30"/>
    </row>
    <row r="31" spans="13:27" x14ac:dyDescent="0.2">
      <c r="X31" s="30"/>
      <c r="Y31" s="30"/>
      <c r="Z31" s="30"/>
      <c r="AA31" s="30"/>
    </row>
    <row r="32" spans="13:27" x14ac:dyDescent="0.2">
      <c r="X32" s="30"/>
      <c r="Y32" s="30"/>
      <c r="Z32" s="30"/>
      <c r="AA32" s="30"/>
    </row>
    <row r="33" spans="24:30" x14ac:dyDescent="0.2">
      <c r="X33" s="30"/>
      <c r="Y33" s="30"/>
      <c r="Z33" s="30"/>
      <c r="AA33" s="30"/>
    </row>
    <row r="34" spans="24:30" x14ac:dyDescent="0.2">
      <c r="X34" s="30"/>
      <c r="Y34" s="30"/>
      <c r="Z34" s="30"/>
      <c r="AA34" s="30"/>
    </row>
    <row r="35" spans="24:30" x14ac:dyDescent="0.2">
      <c r="X35" s="30"/>
      <c r="Y35" s="30"/>
      <c r="Z35" s="30"/>
      <c r="AA35" s="30"/>
    </row>
    <row r="36" spans="24:30" x14ac:dyDescent="0.2">
      <c r="X36" s="30"/>
      <c r="Y36" s="30"/>
      <c r="Z36" s="30"/>
      <c r="AA36" s="30"/>
    </row>
    <row r="37" spans="24:30" x14ac:dyDescent="0.2">
      <c r="X37" s="30"/>
      <c r="Y37" s="30"/>
      <c r="Z37" s="30"/>
      <c r="AA37" s="30"/>
    </row>
    <row r="38" spans="24:30" x14ac:dyDescent="0.2">
      <c r="X38" s="30"/>
      <c r="Y38" s="30"/>
      <c r="Z38" s="30"/>
      <c r="AA38" s="30"/>
    </row>
    <row r="39" spans="24:30" x14ac:dyDescent="0.2">
      <c r="X39" s="30"/>
      <c r="Y39" s="30"/>
      <c r="Z39" s="30"/>
      <c r="AA39" s="30"/>
    </row>
    <row r="40" spans="24:30" x14ac:dyDescent="0.2">
      <c r="X40" s="30"/>
      <c r="Y40" s="30"/>
      <c r="Z40" s="30"/>
      <c r="AA40" s="30"/>
    </row>
    <row r="41" spans="24:30" x14ac:dyDescent="0.2">
      <c r="X41" s="30"/>
      <c r="Y41" s="30"/>
      <c r="Z41" s="30"/>
      <c r="AA41" s="30"/>
    </row>
    <row r="42" spans="24:30" x14ac:dyDescent="0.2">
      <c r="AB42" s="29"/>
      <c r="AC42" s="29"/>
      <c r="AD42" s="29"/>
    </row>
    <row r="43" spans="24:30" x14ac:dyDescent="0.2">
      <c r="AB43" s="29"/>
      <c r="AC43" s="29"/>
      <c r="AD43" s="29"/>
    </row>
    <row r="44" spans="24:30" x14ac:dyDescent="0.2">
      <c r="AB44" s="29"/>
      <c r="AC44" s="29"/>
      <c r="AD44" s="29"/>
    </row>
    <row r="45" spans="24:30" x14ac:dyDescent="0.2">
      <c r="AB45" s="29"/>
      <c r="AC45" s="29"/>
      <c r="AD45" s="29"/>
    </row>
    <row r="46" spans="24:30" x14ac:dyDescent="0.2">
      <c r="AB46" s="29"/>
      <c r="AC46" s="29"/>
      <c r="AD46" s="29"/>
    </row>
    <row r="47" spans="24:30" x14ac:dyDescent="0.2">
      <c r="AB47" s="29"/>
      <c r="AC47" s="29"/>
      <c r="AD47" s="29"/>
    </row>
    <row r="48" spans="24:30" x14ac:dyDescent="0.2">
      <c r="AB48" s="29"/>
      <c r="AC48" s="29"/>
      <c r="AD48" s="29"/>
    </row>
    <row r="49" spans="28:30" x14ac:dyDescent="0.2">
      <c r="AB49" s="29"/>
      <c r="AC49" s="29"/>
      <c r="AD49" s="29"/>
    </row>
    <row r="50" spans="28:30" x14ac:dyDescent="0.2">
      <c r="AB50" s="29"/>
      <c r="AC50" s="29"/>
      <c r="AD50" s="29"/>
    </row>
    <row r="51" spans="28:30" x14ac:dyDescent="0.2">
      <c r="AB51" s="29"/>
      <c r="AC51" s="29"/>
      <c r="AD51" s="29"/>
    </row>
    <row r="52" spans="28:30" x14ac:dyDescent="0.2">
      <c r="AB52" s="29"/>
      <c r="AC52" s="29"/>
      <c r="AD52" s="29"/>
    </row>
    <row r="53" spans="28:30" x14ac:dyDescent="0.2">
      <c r="AB53" s="29"/>
      <c r="AC53" s="29"/>
      <c r="AD53" s="29"/>
    </row>
    <row r="54" spans="28:30" x14ac:dyDescent="0.2">
      <c r="AB54" s="29"/>
      <c r="AC54" s="29"/>
      <c r="AD54" s="29"/>
    </row>
    <row r="55" spans="28:30" x14ac:dyDescent="0.2">
      <c r="AB55" s="29"/>
      <c r="AC55" s="29"/>
      <c r="AD55" s="29"/>
    </row>
    <row r="56" spans="28:30" x14ac:dyDescent="0.2">
      <c r="AB56" s="29"/>
      <c r="AC56" s="29"/>
      <c r="AD56" s="29"/>
    </row>
    <row r="57" spans="28:30" x14ac:dyDescent="0.2">
      <c r="AB57" s="29"/>
      <c r="AC57" s="29"/>
      <c r="AD57" s="29"/>
    </row>
    <row r="58" spans="28:30" x14ac:dyDescent="0.2">
      <c r="AB58" s="29"/>
      <c r="AC58" s="29"/>
      <c r="AD58" s="29"/>
    </row>
    <row r="59" spans="28:30" x14ac:dyDescent="0.2">
      <c r="AB59" s="29"/>
      <c r="AC59" s="29"/>
      <c r="AD59" s="29"/>
    </row>
    <row r="60" spans="28:30" x14ac:dyDescent="0.2">
      <c r="AB60" s="29"/>
      <c r="AC60" s="29"/>
      <c r="AD60" s="29"/>
    </row>
    <row r="61" spans="28:30" x14ac:dyDescent="0.2">
      <c r="AB61" s="29"/>
      <c r="AC61" s="29"/>
      <c r="AD61" s="29"/>
    </row>
    <row r="62" spans="28:30" x14ac:dyDescent="0.2">
      <c r="AB62" s="29"/>
      <c r="AC62" s="29"/>
      <c r="AD62" s="29"/>
    </row>
    <row r="63" spans="28:30" x14ac:dyDescent="0.2">
      <c r="AB63" s="29"/>
      <c r="AC63" s="29"/>
      <c r="AD63" s="29"/>
    </row>
    <row r="64" spans="28:30" x14ac:dyDescent="0.2">
      <c r="AB64" s="29"/>
      <c r="AC64" s="29"/>
      <c r="AD64" s="29"/>
    </row>
    <row r="65" spans="28:30" x14ac:dyDescent="0.2">
      <c r="AB65" s="29"/>
      <c r="AC65" s="29"/>
      <c r="AD65" s="29"/>
    </row>
    <row r="66" spans="28:30" x14ac:dyDescent="0.2">
      <c r="AB66" s="29"/>
      <c r="AC66" s="29"/>
      <c r="AD66" s="29"/>
    </row>
    <row r="67" spans="28:30" x14ac:dyDescent="0.2">
      <c r="AB67" s="29"/>
      <c r="AC67" s="29"/>
      <c r="AD67" s="29"/>
    </row>
    <row r="68" spans="28:30" x14ac:dyDescent="0.2">
      <c r="AB68" s="29"/>
      <c r="AC68" s="29"/>
      <c r="AD68" s="29"/>
    </row>
    <row r="69" spans="28:30" x14ac:dyDescent="0.2">
      <c r="AB69" s="29"/>
      <c r="AC69" s="29"/>
      <c r="AD69" s="29"/>
    </row>
    <row r="70" spans="28:30" x14ac:dyDescent="0.2">
      <c r="AB70" s="29"/>
      <c r="AC70" s="29"/>
      <c r="AD70" s="29"/>
    </row>
    <row r="71" spans="28:30" x14ac:dyDescent="0.2">
      <c r="AB71" s="29"/>
      <c r="AC71" s="29"/>
      <c r="AD71" s="29"/>
    </row>
    <row r="72" spans="28:30" x14ac:dyDescent="0.2">
      <c r="AB72" s="29"/>
      <c r="AC72" s="29"/>
      <c r="AD72" s="29"/>
    </row>
    <row r="73" spans="28:30" x14ac:dyDescent="0.2">
      <c r="AB73" s="29"/>
      <c r="AC73" s="29"/>
      <c r="AD73" s="29"/>
    </row>
    <row r="74" spans="28:30" x14ac:dyDescent="0.2">
      <c r="AB74" s="29"/>
      <c r="AC74" s="29"/>
      <c r="AD74" s="29"/>
    </row>
    <row r="75" spans="28:30" x14ac:dyDescent="0.2">
      <c r="AB75" s="29"/>
      <c r="AC75" s="29"/>
      <c r="AD75" s="29"/>
    </row>
    <row r="76" spans="28:30" x14ac:dyDescent="0.2">
      <c r="AB76" s="29"/>
      <c r="AC76" s="29"/>
      <c r="AD76" s="29"/>
    </row>
    <row r="77" spans="28:30" x14ac:dyDescent="0.2">
      <c r="AB77" s="29"/>
      <c r="AC77" s="29"/>
      <c r="AD77" s="29"/>
    </row>
    <row r="78" spans="28:30" x14ac:dyDescent="0.2">
      <c r="AB78" s="29"/>
      <c r="AC78" s="29"/>
      <c r="AD78" s="29"/>
    </row>
    <row r="79" spans="28:30" x14ac:dyDescent="0.2">
      <c r="AB79" s="29"/>
      <c r="AC79" s="29"/>
      <c r="AD79" s="29"/>
    </row>
    <row r="80" spans="28:30" x14ac:dyDescent="0.2">
      <c r="AB80" s="29"/>
      <c r="AC80" s="29"/>
      <c r="AD80" s="29"/>
    </row>
    <row r="81" spans="28:30" x14ac:dyDescent="0.2">
      <c r="AB81" s="29"/>
      <c r="AC81" s="29"/>
      <c r="AD81" s="29"/>
    </row>
    <row r="82" spans="28:30" x14ac:dyDescent="0.2">
      <c r="AB82" s="29"/>
      <c r="AC82" s="29"/>
      <c r="AD82" s="29"/>
    </row>
    <row r="83" spans="28:30" x14ac:dyDescent="0.2">
      <c r="AB83" s="29"/>
      <c r="AC83" s="29"/>
      <c r="AD83" s="29"/>
    </row>
    <row r="84" spans="28:30" x14ac:dyDescent="0.2">
      <c r="AB84" s="29"/>
      <c r="AC84" s="29"/>
      <c r="AD84" s="29"/>
    </row>
    <row r="85" spans="28:30" x14ac:dyDescent="0.2">
      <c r="AB85" s="29"/>
      <c r="AC85" s="29"/>
      <c r="AD85" s="29"/>
    </row>
    <row r="86" spans="28:30" x14ac:dyDescent="0.2">
      <c r="AB86" s="29"/>
      <c r="AC86" s="29"/>
      <c r="AD86" s="29"/>
    </row>
    <row r="87" spans="28:30" x14ac:dyDescent="0.2">
      <c r="AB87" s="29"/>
      <c r="AC87" s="29"/>
      <c r="AD87" s="29"/>
    </row>
    <row r="88" spans="28:30" x14ac:dyDescent="0.2">
      <c r="AB88" s="29"/>
      <c r="AC88" s="29"/>
      <c r="AD88" s="29"/>
    </row>
    <row r="89" spans="28:30" x14ac:dyDescent="0.2">
      <c r="AB89" s="29"/>
      <c r="AC89" s="29"/>
      <c r="AD89" s="29"/>
    </row>
    <row r="90" spans="28:30" x14ac:dyDescent="0.2">
      <c r="AB90" s="29"/>
      <c r="AC90" s="29"/>
      <c r="AD90" s="29"/>
    </row>
    <row r="91" spans="28:30" x14ac:dyDescent="0.2">
      <c r="AB91" s="29"/>
      <c r="AC91" s="29"/>
      <c r="AD91" s="29"/>
    </row>
    <row r="92" spans="28:30" x14ac:dyDescent="0.2">
      <c r="AB92" s="29"/>
      <c r="AC92" s="29"/>
      <c r="AD92" s="29"/>
    </row>
    <row r="93" spans="28:30" x14ac:dyDescent="0.2">
      <c r="AB93" s="29"/>
      <c r="AC93" s="29"/>
      <c r="AD93" s="29"/>
    </row>
    <row r="94" spans="28:30" x14ac:dyDescent="0.2">
      <c r="AB94" s="29"/>
      <c r="AC94" s="29"/>
      <c r="AD94" s="29"/>
    </row>
    <row r="95" spans="28:30" x14ac:dyDescent="0.2">
      <c r="AB95" s="29"/>
      <c r="AC95" s="29"/>
      <c r="AD95" s="29"/>
    </row>
    <row r="96" spans="28:30" x14ac:dyDescent="0.2">
      <c r="AB96" s="29"/>
      <c r="AC96" s="29"/>
      <c r="AD96"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D151F-EEBB-0942-A1A0-AADED2BB2237}">
  <dimension ref="A1:AP54"/>
  <sheetViews>
    <sheetView zoomScale="119" workbookViewId="0">
      <selection activeCell="D54" sqref="D54:Y54"/>
    </sheetView>
  </sheetViews>
  <sheetFormatPr baseColWidth="10" defaultColWidth="8.83203125" defaultRowHeight="15" x14ac:dyDescent="0.2"/>
  <cols>
    <col min="1" max="1" width="38.1640625" style="2" bestFit="1" customWidth="1"/>
    <col min="2" max="2" width="22.83203125" style="2" bestFit="1" customWidth="1"/>
    <col min="3" max="9" width="10.83203125" style="2" bestFit="1" customWidth="1"/>
    <col min="10" max="16384" width="8.83203125" style="2"/>
  </cols>
  <sheetData>
    <row r="1" spans="1:42" x14ac:dyDescent="0.2">
      <c r="A1" s="1" t="s">
        <v>0</v>
      </c>
      <c r="B1" s="1" t="s">
        <v>251</v>
      </c>
      <c r="C1" s="1" t="s">
        <v>1</v>
      </c>
      <c r="D1" s="1" t="s">
        <v>2</v>
      </c>
      <c r="E1" s="1" t="s">
        <v>3</v>
      </c>
      <c r="F1" s="1" t="s">
        <v>4</v>
      </c>
      <c r="G1" s="1" t="s">
        <v>5</v>
      </c>
      <c r="H1" s="11" t="s">
        <v>6</v>
      </c>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x14ac:dyDescent="0.2">
      <c r="A2" s="1" t="s">
        <v>252</v>
      </c>
      <c r="B2" s="1" t="s">
        <v>253</v>
      </c>
      <c r="C2" s="1" t="s">
        <v>8</v>
      </c>
      <c r="D2" s="1" t="s">
        <v>9</v>
      </c>
      <c r="E2" s="1" t="s">
        <v>10</v>
      </c>
      <c r="F2" s="1" t="s">
        <v>11</v>
      </c>
      <c r="G2" s="1" t="s">
        <v>12</v>
      </c>
      <c r="H2" s="11" t="s">
        <v>13</v>
      </c>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spans="1:42" x14ac:dyDescent="0.2">
      <c r="A3" s="1" t="s">
        <v>254</v>
      </c>
      <c r="B3" s="1" t="s">
        <v>255</v>
      </c>
      <c r="C3" s="1" t="s">
        <v>256</v>
      </c>
      <c r="D3" s="1" t="s">
        <v>257</v>
      </c>
      <c r="E3" s="1" t="s">
        <v>258</v>
      </c>
      <c r="F3" s="1" t="s">
        <v>259</v>
      </c>
      <c r="G3" s="1" t="s">
        <v>260</v>
      </c>
      <c r="H3" s="11" t="s">
        <v>261</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spans="1:42" x14ac:dyDescent="0.2">
      <c r="A4" s="1" t="s">
        <v>262</v>
      </c>
      <c r="B4" s="1" t="s">
        <v>263</v>
      </c>
      <c r="C4" s="1" t="s">
        <v>264</v>
      </c>
      <c r="D4" s="1" t="s">
        <v>265</v>
      </c>
      <c r="E4" s="1" t="s">
        <v>266</v>
      </c>
      <c r="F4" s="1" t="s">
        <v>267</v>
      </c>
      <c r="G4" s="1" t="s">
        <v>268</v>
      </c>
      <c r="H4" s="11" t="s">
        <v>269</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row>
    <row r="5" spans="1:42" x14ac:dyDescent="0.2">
      <c r="A5" s="1" t="s">
        <v>270</v>
      </c>
      <c r="B5" s="1" t="s">
        <v>271</v>
      </c>
      <c r="C5" s="1" t="s">
        <v>272</v>
      </c>
      <c r="D5" s="1" t="s">
        <v>273</v>
      </c>
      <c r="E5" s="1" t="s">
        <v>274</v>
      </c>
      <c r="F5" s="1" t="s">
        <v>275</v>
      </c>
      <c r="G5" s="1" t="s">
        <v>276</v>
      </c>
      <c r="H5" s="11" t="s">
        <v>277</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row>
    <row r="6" spans="1:42" x14ac:dyDescent="0.2">
      <c r="A6" s="1" t="s">
        <v>278</v>
      </c>
      <c r="B6" s="1" t="s">
        <v>279</v>
      </c>
      <c r="C6" s="1" t="s">
        <v>280</v>
      </c>
      <c r="D6" s="1" t="s">
        <v>281</v>
      </c>
      <c r="E6" s="1" t="s">
        <v>282</v>
      </c>
      <c r="F6" s="1" t="s">
        <v>283</v>
      </c>
      <c r="G6" s="1" t="s">
        <v>284</v>
      </c>
      <c r="H6" s="11" t="s">
        <v>285</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row>
    <row r="7" spans="1:42" x14ac:dyDescent="0.2">
      <c r="A7" s="1" t="s">
        <v>287</v>
      </c>
      <c r="B7" s="1" t="s">
        <v>43</v>
      </c>
      <c r="C7" s="1" t="s">
        <v>43</v>
      </c>
      <c r="D7" s="1" t="s">
        <v>43</v>
      </c>
      <c r="E7" s="1" t="s">
        <v>43</v>
      </c>
      <c r="F7" s="1" t="s">
        <v>43</v>
      </c>
      <c r="G7" s="1" t="s">
        <v>43</v>
      </c>
      <c r="H7" s="11" t="s">
        <v>43</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row>
    <row r="8" spans="1:42" x14ac:dyDescent="0.2">
      <c r="A8" s="1" t="s">
        <v>288</v>
      </c>
      <c r="B8" s="1" t="s">
        <v>279</v>
      </c>
      <c r="C8" s="1" t="s">
        <v>280</v>
      </c>
      <c r="D8" s="1" t="s">
        <v>281</v>
      </c>
      <c r="E8" s="1" t="s">
        <v>282</v>
      </c>
      <c r="F8" s="1" t="s">
        <v>283</v>
      </c>
      <c r="G8" s="1" t="s">
        <v>284</v>
      </c>
      <c r="H8" s="11" t="s">
        <v>285</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row>
    <row r="9" spans="1:42" x14ac:dyDescent="0.2">
      <c r="A9" s="1" t="s">
        <v>289</v>
      </c>
      <c r="B9" s="1" t="s">
        <v>43</v>
      </c>
      <c r="C9" s="1" t="s">
        <v>43</v>
      </c>
      <c r="D9" s="1" t="s">
        <v>43</v>
      </c>
      <c r="E9" s="1" t="s">
        <v>43</v>
      </c>
      <c r="F9" s="1" t="s">
        <v>43</v>
      </c>
      <c r="G9" s="1" t="s">
        <v>43</v>
      </c>
      <c r="H9" s="11" t="s">
        <v>43</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row>
    <row r="10" spans="1:42" x14ac:dyDescent="0.2">
      <c r="A10" s="1" t="s">
        <v>290</v>
      </c>
      <c r="B10" s="1" t="s">
        <v>291</v>
      </c>
      <c r="C10" s="1" t="s">
        <v>286</v>
      </c>
      <c r="D10" s="1" t="s">
        <v>292</v>
      </c>
      <c r="E10" s="1" t="s">
        <v>293</v>
      </c>
      <c r="F10" s="1" t="s">
        <v>294</v>
      </c>
      <c r="G10" s="1" t="s">
        <v>295</v>
      </c>
      <c r="H10" s="11" t="s">
        <v>296</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row>
    <row r="11" spans="1:42" x14ac:dyDescent="0.2">
      <c r="A11" s="1" t="s">
        <v>297</v>
      </c>
      <c r="B11" s="1" t="s">
        <v>298</v>
      </c>
      <c r="C11" s="1" t="s">
        <v>299</v>
      </c>
      <c r="D11" s="1" t="s">
        <v>300</v>
      </c>
      <c r="E11" s="1" t="s">
        <v>118</v>
      </c>
      <c r="F11" s="1" t="s">
        <v>301</v>
      </c>
      <c r="G11" s="1" t="s">
        <v>302</v>
      </c>
      <c r="H11" s="11" t="s">
        <v>303</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row>
    <row r="12" spans="1:42" x14ac:dyDescent="0.2">
      <c r="A12" s="1" t="s">
        <v>306</v>
      </c>
      <c r="B12" s="1" t="s">
        <v>66</v>
      </c>
      <c r="C12" s="1" t="s">
        <v>307</v>
      </c>
      <c r="D12" s="1" t="s">
        <v>308</v>
      </c>
      <c r="E12" s="1" t="s">
        <v>309</v>
      </c>
      <c r="F12" s="1" t="s">
        <v>310</v>
      </c>
      <c r="G12" s="1" t="s">
        <v>311</v>
      </c>
      <c r="H12" s="11" t="s">
        <v>222</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row>
    <row r="13" spans="1:42" x14ac:dyDescent="0.2">
      <c r="A13" s="1" t="s">
        <v>313</v>
      </c>
      <c r="B13" s="1" t="s">
        <v>178</v>
      </c>
      <c r="C13" s="1" t="s">
        <v>107</v>
      </c>
      <c r="D13" s="1" t="s">
        <v>314</v>
      </c>
      <c r="E13" s="1" t="s">
        <v>106</v>
      </c>
      <c r="F13" s="1" t="s">
        <v>315</v>
      </c>
      <c r="G13" s="1" t="s">
        <v>107</v>
      </c>
      <c r="H13" s="11" t="s">
        <v>316</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row>
    <row r="14" spans="1:42" x14ac:dyDescent="0.2">
      <c r="A14" s="1" t="s">
        <v>317</v>
      </c>
      <c r="B14" s="1" t="s">
        <v>318</v>
      </c>
      <c r="C14" s="1" t="s">
        <v>319</v>
      </c>
      <c r="D14" s="1" t="s">
        <v>320</v>
      </c>
      <c r="E14" s="1" t="s">
        <v>321</v>
      </c>
      <c r="F14" s="1" t="s">
        <v>141</v>
      </c>
      <c r="G14" s="1" t="s">
        <v>304</v>
      </c>
      <c r="H14" s="11" t="s">
        <v>322</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row>
    <row r="15" spans="1:42" x14ac:dyDescent="0.2">
      <c r="A15" s="1" t="s">
        <v>323</v>
      </c>
      <c r="B15" s="1" t="s">
        <v>324</v>
      </c>
      <c r="C15" s="1" t="s">
        <v>325</v>
      </c>
      <c r="D15" s="1" t="s">
        <v>326</v>
      </c>
      <c r="E15" s="1" t="s">
        <v>327</v>
      </c>
      <c r="F15" s="1" t="s">
        <v>328</v>
      </c>
      <c r="G15" s="1" t="s">
        <v>329</v>
      </c>
      <c r="H15" s="11" t="s">
        <v>213</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row>
    <row r="16" spans="1:42" x14ac:dyDescent="0.2">
      <c r="A16" s="1" t="s">
        <v>330</v>
      </c>
      <c r="B16" s="1" t="s">
        <v>331</v>
      </c>
      <c r="C16" s="1" t="s">
        <v>332</v>
      </c>
      <c r="D16" s="1" t="s">
        <v>333</v>
      </c>
      <c r="E16" s="1" t="s">
        <v>334</v>
      </c>
      <c r="F16" s="1" t="s">
        <v>335</v>
      </c>
      <c r="G16" s="1" t="s">
        <v>336</v>
      </c>
      <c r="H16" s="11" t="s">
        <v>337</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row>
    <row r="17" spans="1:42" x14ac:dyDescent="0.2">
      <c r="A17" s="1" t="s">
        <v>338</v>
      </c>
      <c r="B17" s="1" t="s">
        <v>43</v>
      </c>
      <c r="C17" s="1" t="s">
        <v>43</v>
      </c>
      <c r="D17" s="1" t="s">
        <v>43</v>
      </c>
      <c r="E17" s="1" t="s">
        <v>43</v>
      </c>
      <c r="F17" s="1" t="s">
        <v>43</v>
      </c>
      <c r="G17" s="1" t="s">
        <v>43</v>
      </c>
      <c r="H17" s="11" t="s">
        <v>43</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row>
    <row r="18" spans="1:42" x14ac:dyDescent="0.2">
      <c r="A18" s="1" t="s">
        <v>339</v>
      </c>
      <c r="B18" s="1" t="s">
        <v>340</v>
      </c>
      <c r="C18" s="1" t="s">
        <v>341</v>
      </c>
      <c r="D18" s="1" t="s">
        <v>342</v>
      </c>
      <c r="E18" s="1" t="s">
        <v>343</v>
      </c>
      <c r="F18" s="1" t="s">
        <v>344</v>
      </c>
      <c r="G18" s="1" t="s">
        <v>345</v>
      </c>
      <c r="H18" s="11" t="s">
        <v>346</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row>
    <row r="19" spans="1:42" x14ac:dyDescent="0.2">
      <c r="A19" s="1" t="s">
        <v>347</v>
      </c>
      <c r="B19" s="1" t="s">
        <v>348</v>
      </c>
      <c r="C19" s="1" t="s">
        <v>349</v>
      </c>
      <c r="D19" s="1" t="s">
        <v>350</v>
      </c>
      <c r="E19" s="1" t="s">
        <v>351</v>
      </c>
      <c r="F19" s="1" t="s">
        <v>352</v>
      </c>
      <c r="G19" s="1" t="s">
        <v>353</v>
      </c>
      <c r="H19" s="11" t="s">
        <v>354</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row>
    <row r="20" spans="1:42" x14ac:dyDescent="0.2">
      <c r="A20" s="1" t="s">
        <v>356</v>
      </c>
      <c r="B20" s="1" t="s">
        <v>357</v>
      </c>
      <c r="C20" s="1" t="s">
        <v>358</v>
      </c>
      <c r="D20" s="1" t="s">
        <v>359</v>
      </c>
      <c r="E20" s="1" t="s">
        <v>360</v>
      </c>
      <c r="F20" s="1" t="s">
        <v>361</v>
      </c>
      <c r="G20" s="1" t="s">
        <v>362</v>
      </c>
      <c r="H20" s="11" t="s">
        <v>363</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row>
    <row r="21" spans="1:42" x14ac:dyDescent="0.2">
      <c r="A21" s="1" t="s">
        <v>364</v>
      </c>
      <c r="B21" s="1" t="s">
        <v>365</v>
      </c>
      <c r="C21" s="1" t="s">
        <v>366</v>
      </c>
      <c r="D21" s="1" t="s">
        <v>367</v>
      </c>
      <c r="E21" s="1" t="s">
        <v>368</v>
      </c>
      <c r="F21" s="1" t="s">
        <v>369</v>
      </c>
      <c r="G21" s="1" t="s">
        <v>370</v>
      </c>
      <c r="H21" s="11" t="s">
        <v>371</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row>
    <row r="22" spans="1:42" x14ac:dyDescent="0.2">
      <c r="A22" s="1" t="s">
        <v>372</v>
      </c>
      <c r="B22" s="1" t="s">
        <v>365</v>
      </c>
      <c r="C22" s="1" t="s">
        <v>373</v>
      </c>
      <c r="D22" s="1" t="s">
        <v>374</v>
      </c>
      <c r="E22" s="1" t="s">
        <v>375</v>
      </c>
      <c r="F22" s="1" t="s">
        <v>376</v>
      </c>
      <c r="G22" s="1" t="s">
        <v>377</v>
      </c>
      <c r="H22" s="11" t="s">
        <v>378</v>
      </c>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row>
    <row r="23" spans="1:42" x14ac:dyDescent="0.2">
      <c r="A23" s="1" t="s">
        <v>379</v>
      </c>
      <c r="B23" s="1" t="s">
        <v>380</v>
      </c>
      <c r="C23" s="1" t="s">
        <v>381</v>
      </c>
      <c r="D23" s="1" t="s">
        <v>382</v>
      </c>
      <c r="E23" s="1" t="s">
        <v>383</v>
      </c>
      <c r="F23" s="1" t="s">
        <v>384</v>
      </c>
      <c r="G23" s="1" t="s">
        <v>385</v>
      </c>
      <c r="H23" s="11" t="s">
        <v>386</v>
      </c>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row>
    <row r="24" spans="1:42" x14ac:dyDescent="0.2">
      <c r="A24" s="1" t="s">
        <v>387</v>
      </c>
      <c r="B24" s="1" t="s">
        <v>388</v>
      </c>
      <c r="C24" s="1" t="s">
        <v>389</v>
      </c>
      <c r="D24" s="1" t="s">
        <v>81</v>
      </c>
      <c r="E24" s="1" t="s">
        <v>390</v>
      </c>
      <c r="F24" s="1" t="s">
        <v>391</v>
      </c>
      <c r="G24" s="1" t="s">
        <v>392</v>
      </c>
      <c r="H24" s="11" t="s">
        <v>393</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row>
    <row r="26" spans="1:42" x14ac:dyDescent="0.2">
      <c r="A26" s="1" t="s">
        <v>0</v>
      </c>
      <c r="B26" s="1" t="s">
        <v>251</v>
      </c>
      <c r="C26" s="1" t="s">
        <v>1</v>
      </c>
      <c r="D26" s="1" t="s">
        <v>2</v>
      </c>
      <c r="E26" s="1" t="s">
        <v>3</v>
      </c>
      <c r="F26" s="1" t="s">
        <v>4</v>
      </c>
      <c r="G26" s="1" t="s">
        <v>5</v>
      </c>
    </row>
    <row r="27" spans="1:42" x14ac:dyDescent="0.2">
      <c r="A27" s="1" t="s">
        <v>252</v>
      </c>
      <c r="B27" s="1" t="s">
        <v>253</v>
      </c>
      <c r="C27" s="1" t="s">
        <v>8</v>
      </c>
      <c r="D27" s="1" t="s">
        <v>9</v>
      </c>
      <c r="E27" s="1" t="s">
        <v>10</v>
      </c>
      <c r="F27" s="1" t="s">
        <v>11</v>
      </c>
      <c r="G27" s="1" t="s">
        <v>12</v>
      </c>
    </row>
    <row r="28" spans="1:42" x14ac:dyDescent="0.2">
      <c r="A28" s="1" t="s">
        <v>254</v>
      </c>
      <c r="B28" s="1">
        <v>46.512999999999998</v>
      </c>
      <c r="C28" s="1">
        <v>46.308999999999997</v>
      </c>
      <c r="D28" s="1">
        <v>51.362000000000002</v>
      </c>
      <c r="E28" s="1">
        <v>51.216999999999999</v>
      </c>
      <c r="F28" s="1">
        <v>46.71</v>
      </c>
      <c r="G28" s="1">
        <v>44.537999999999997</v>
      </c>
    </row>
    <row r="29" spans="1:42" x14ac:dyDescent="0.2">
      <c r="A29" s="1" t="s">
        <v>262</v>
      </c>
      <c r="B29" s="1">
        <v>27.381</v>
      </c>
      <c r="C29" s="1">
        <v>26.518999999999998</v>
      </c>
      <c r="D29" s="1">
        <v>28.475000000000001</v>
      </c>
      <c r="E29" s="1">
        <v>28.925000000000001</v>
      </c>
      <c r="F29" s="1">
        <v>25.231000000000002</v>
      </c>
      <c r="G29" s="1">
        <v>24.576000000000001</v>
      </c>
    </row>
    <row r="30" spans="1:42" x14ac:dyDescent="0.2">
      <c r="A30" s="1" t="s">
        <v>270</v>
      </c>
      <c r="B30" s="1">
        <v>19.132000000000001</v>
      </c>
      <c r="C30" s="1">
        <v>19.79</v>
      </c>
      <c r="D30" s="1">
        <v>22.887</v>
      </c>
      <c r="E30" s="1">
        <v>22.292000000000002</v>
      </c>
      <c r="F30" s="1">
        <v>21.478999999999999</v>
      </c>
      <c r="G30" s="1">
        <v>19.962</v>
      </c>
    </row>
    <row r="31" spans="1:42" x14ac:dyDescent="0.2">
      <c r="A31" s="1" t="s">
        <v>278</v>
      </c>
      <c r="B31" s="1">
        <v>16.09</v>
      </c>
      <c r="C31" s="1">
        <v>16.088000000000001</v>
      </c>
      <c r="D31" s="1">
        <v>16.576000000000001</v>
      </c>
      <c r="E31" s="1">
        <v>16.376999999999999</v>
      </c>
      <c r="F31" s="1">
        <v>14.804</v>
      </c>
      <c r="G31" s="1">
        <v>13.025</v>
      </c>
    </row>
    <row r="32" spans="1:42" x14ac:dyDescent="0.2">
      <c r="A32" s="1" t="s">
        <v>287</v>
      </c>
      <c r="B32" s="1">
        <v>0</v>
      </c>
      <c r="C32" s="1">
        <v>0</v>
      </c>
      <c r="D32" s="1">
        <v>0</v>
      </c>
      <c r="E32" s="1">
        <v>0</v>
      </c>
      <c r="F32" s="1">
        <v>0</v>
      </c>
      <c r="G32" s="1">
        <v>0</v>
      </c>
    </row>
    <row r="33" spans="1:7" x14ac:dyDescent="0.2">
      <c r="A33" s="1" t="s">
        <v>288</v>
      </c>
      <c r="B33" s="1">
        <v>16.09</v>
      </c>
      <c r="C33" s="1">
        <v>16.088000000000001</v>
      </c>
      <c r="D33" s="1">
        <v>16.576000000000001</v>
      </c>
      <c r="E33" s="1">
        <v>16.376999999999999</v>
      </c>
      <c r="F33" s="1">
        <v>14.804</v>
      </c>
      <c r="G33" s="1">
        <v>13.025</v>
      </c>
    </row>
    <row r="34" spans="1:7" x14ac:dyDescent="0.2">
      <c r="A34" s="1" t="s">
        <v>289</v>
      </c>
      <c r="B34" s="1">
        <v>0</v>
      </c>
      <c r="C34" s="1">
        <v>0</v>
      </c>
      <c r="D34" s="1">
        <v>0</v>
      </c>
      <c r="E34" s="1">
        <v>0</v>
      </c>
      <c r="F34" s="1">
        <v>0</v>
      </c>
      <c r="G34" s="1">
        <v>0</v>
      </c>
    </row>
    <row r="35" spans="1:7" x14ac:dyDescent="0.2">
      <c r="A35" s="1" t="s">
        <v>290</v>
      </c>
      <c r="B35" s="1">
        <v>3.0419999999999998</v>
      </c>
      <c r="C35" s="1">
        <v>3.702</v>
      </c>
      <c r="D35" s="1">
        <v>6.3109999999999999</v>
      </c>
      <c r="E35" s="1">
        <v>5.915</v>
      </c>
      <c r="F35" s="1">
        <v>6.6749999999999998</v>
      </c>
      <c r="G35" s="1">
        <v>6.9370000000000003</v>
      </c>
    </row>
    <row r="36" spans="1:7" x14ac:dyDescent="0.2">
      <c r="A36" s="1" t="s">
        <v>297</v>
      </c>
      <c r="B36" s="1">
        <v>57</v>
      </c>
      <c r="C36" s="1">
        <v>115</v>
      </c>
      <c r="D36" s="1">
        <v>169</v>
      </c>
      <c r="E36" s="1">
        <v>14</v>
      </c>
      <c r="F36" s="1">
        <v>-198</v>
      </c>
      <c r="G36" s="1">
        <v>-255</v>
      </c>
    </row>
    <row r="37" spans="1:7" x14ac:dyDescent="0.2">
      <c r="A37" s="1" t="s">
        <v>306</v>
      </c>
      <c r="B37" s="1">
        <v>353</v>
      </c>
      <c r="C37" s="1">
        <v>404</v>
      </c>
      <c r="D37" s="1">
        <v>430</v>
      </c>
      <c r="E37" s="1">
        <v>297</v>
      </c>
      <c r="F37" s="1">
        <v>94</v>
      </c>
      <c r="G37" s="1">
        <v>34</v>
      </c>
    </row>
    <row r="38" spans="1:7" x14ac:dyDescent="0.2">
      <c r="A38" s="1" t="s">
        <v>313</v>
      </c>
      <c r="B38" s="1">
        <v>296</v>
      </c>
      <c r="C38" s="1">
        <v>289</v>
      </c>
      <c r="D38" s="1">
        <v>261</v>
      </c>
      <c r="E38" s="1">
        <v>283</v>
      </c>
      <c r="F38" s="1">
        <v>292</v>
      </c>
      <c r="G38" s="1">
        <v>289</v>
      </c>
    </row>
    <row r="39" spans="1:7" x14ac:dyDescent="0.2">
      <c r="A39" s="1" t="s">
        <v>317</v>
      </c>
      <c r="B39" s="1">
        <v>-16</v>
      </c>
      <c r="C39" s="1">
        <v>68</v>
      </c>
      <c r="D39" s="1">
        <v>220</v>
      </c>
      <c r="E39" s="1">
        <v>272</v>
      </c>
      <c r="F39" s="1">
        <v>174</v>
      </c>
      <c r="G39" s="1">
        <v>-21</v>
      </c>
    </row>
    <row r="40" spans="1:7" x14ac:dyDescent="0.2">
      <c r="A40" s="1" t="s">
        <v>323</v>
      </c>
      <c r="B40" s="1">
        <v>3.0830000000000002</v>
      </c>
      <c r="C40" s="1">
        <v>3.8849999999999998</v>
      </c>
      <c r="D40" s="1">
        <v>6.7</v>
      </c>
      <c r="E40" s="1">
        <v>6.2009999999999996</v>
      </c>
      <c r="F40" s="1">
        <v>6.6509999999999998</v>
      </c>
      <c r="G40" s="1">
        <v>6.6609999999999996</v>
      </c>
    </row>
    <row r="41" spans="1:7" x14ac:dyDescent="0.2">
      <c r="A41" s="1" t="s">
        <v>330</v>
      </c>
      <c r="B41" s="1">
        <v>559</v>
      </c>
      <c r="C41" s="1">
        <v>666</v>
      </c>
      <c r="D41" s="1">
        <v>1</v>
      </c>
      <c r="E41" s="1">
        <v>1.131</v>
      </c>
      <c r="F41" s="1">
        <v>605</v>
      </c>
      <c r="G41" s="1">
        <v>934</v>
      </c>
    </row>
    <row r="42" spans="1:7" x14ac:dyDescent="0.2">
      <c r="A42" s="1" t="s">
        <v>338</v>
      </c>
      <c r="B42" s="1">
        <v>0</v>
      </c>
      <c r="C42" s="1">
        <v>0</v>
      </c>
      <c r="D42" s="1">
        <v>0</v>
      </c>
      <c r="E42" s="1">
        <v>0</v>
      </c>
      <c r="F42" s="1">
        <v>0</v>
      </c>
      <c r="G42" s="1">
        <v>0</v>
      </c>
    </row>
    <row r="43" spans="1:7" x14ac:dyDescent="0.2">
      <c r="A43" s="1" t="s">
        <v>339</v>
      </c>
      <c r="B43" s="1">
        <v>2.524</v>
      </c>
      <c r="C43" s="1">
        <v>3.2189999999999999</v>
      </c>
      <c r="D43" s="1">
        <v>5.7</v>
      </c>
      <c r="E43" s="1">
        <v>5.07</v>
      </c>
      <c r="F43" s="1">
        <v>6.0460000000000003</v>
      </c>
      <c r="G43" s="1">
        <v>5.7270000000000003</v>
      </c>
    </row>
    <row r="44" spans="1:7" x14ac:dyDescent="0.2">
      <c r="A44" s="1" t="s">
        <v>347</v>
      </c>
      <c r="B44" s="1">
        <v>629</v>
      </c>
      <c r="C44" s="1">
        <v>808</v>
      </c>
      <c r="D44" s="1">
        <v>844</v>
      </c>
      <c r="E44" s="1">
        <v>859</v>
      </c>
      <c r="F44" s="1">
        <v>840</v>
      </c>
      <c r="G44" s="1">
        <v>797</v>
      </c>
    </row>
    <row r="45" spans="1:7" x14ac:dyDescent="0.2">
      <c r="A45" s="1" t="s">
        <v>356</v>
      </c>
      <c r="B45" s="1">
        <v>3.6709999999999998</v>
      </c>
      <c r="C45" s="1">
        <v>4.51</v>
      </c>
      <c r="D45" s="1">
        <v>7.1550000000000002</v>
      </c>
      <c r="E45" s="1">
        <v>6.774</v>
      </c>
      <c r="F45" s="1">
        <v>7.5149999999999997</v>
      </c>
      <c r="G45" s="1">
        <v>7.734</v>
      </c>
    </row>
    <row r="46" spans="1:7" x14ac:dyDescent="0.2">
      <c r="A46" s="1" t="s">
        <v>364</v>
      </c>
      <c r="B46" s="1" t="s">
        <v>365</v>
      </c>
      <c r="C46" s="1" t="s">
        <v>366</v>
      </c>
      <c r="D46" s="1" t="s">
        <v>367</v>
      </c>
      <c r="E46" s="1" t="s">
        <v>368</v>
      </c>
      <c r="F46" s="1" t="s">
        <v>369</v>
      </c>
      <c r="G46" s="1" t="s">
        <v>370</v>
      </c>
    </row>
    <row r="47" spans="1:7" x14ac:dyDescent="0.2">
      <c r="A47" s="1" t="s">
        <v>372</v>
      </c>
      <c r="B47" s="1" t="s">
        <v>365</v>
      </c>
      <c r="C47" s="1" t="s">
        <v>373</v>
      </c>
      <c r="D47" s="1" t="s">
        <v>374</v>
      </c>
      <c r="E47" s="1" t="s">
        <v>375</v>
      </c>
      <c r="F47" s="1" t="s">
        <v>376</v>
      </c>
      <c r="G47" s="1" t="s">
        <v>377</v>
      </c>
    </row>
    <row r="48" spans="1:7" x14ac:dyDescent="0.2">
      <c r="A48" s="1" t="s">
        <v>379</v>
      </c>
      <c r="B48" s="1">
        <v>1.478</v>
      </c>
      <c r="C48" s="1">
        <v>1.4850000000000001</v>
      </c>
      <c r="D48" s="1">
        <v>1.518</v>
      </c>
      <c r="E48" s="1">
        <v>1.552</v>
      </c>
      <c r="F48" s="1">
        <v>1.579</v>
      </c>
      <c r="G48" s="1">
        <v>1.573</v>
      </c>
    </row>
    <row r="49" spans="1:25" x14ac:dyDescent="0.2">
      <c r="A49" s="1" t="s">
        <v>387</v>
      </c>
      <c r="B49" s="1">
        <v>1.48</v>
      </c>
      <c r="C49" s="1">
        <v>1.488</v>
      </c>
      <c r="D49" s="1">
        <v>1.53</v>
      </c>
      <c r="E49" s="1">
        <v>1.57</v>
      </c>
      <c r="F49" s="1">
        <v>1.611</v>
      </c>
      <c r="G49" s="1">
        <v>1.609</v>
      </c>
    </row>
    <row r="51" spans="1:25" x14ac:dyDescent="0.2">
      <c r="A51" s="2" t="s">
        <v>544</v>
      </c>
      <c r="C51" s="9">
        <f>C30/C28</f>
        <v>0.42734673605562634</v>
      </c>
      <c r="D51" s="9">
        <f t="shared" ref="D51:G51" si="0">D30/D28</f>
        <v>0.44560180678322492</v>
      </c>
      <c r="E51" s="9">
        <f t="shared" si="0"/>
        <v>0.43524610969014199</v>
      </c>
      <c r="F51" s="9">
        <f t="shared" si="0"/>
        <v>0.45983729394134015</v>
      </c>
      <c r="G51" s="9">
        <f t="shared" si="0"/>
        <v>0.44820153576721006</v>
      </c>
    </row>
    <row r="54" spans="1:25" x14ac:dyDescent="0.2">
      <c r="B54" s="11" t="s">
        <v>6</v>
      </c>
      <c r="C54" s="11"/>
      <c r="D54" s="11" t="s">
        <v>261</v>
      </c>
      <c r="E54" s="11" t="s">
        <v>269</v>
      </c>
      <c r="F54" s="11" t="s">
        <v>277</v>
      </c>
      <c r="G54" s="11" t="s">
        <v>285</v>
      </c>
      <c r="H54" s="11" t="s">
        <v>43</v>
      </c>
      <c r="I54" s="11" t="s">
        <v>285</v>
      </c>
      <c r="J54" s="11" t="s">
        <v>43</v>
      </c>
      <c r="K54" s="11" t="s">
        <v>296</v>
      </c>
      <c r="L54" s="11" t="s">
        <v>303</v>
      </c>
      <c r="M54" s="11" t="s">
        <v>222</v>
      </c>
      <c r="N54" s="11" t="s">
        <v>316</v>
      </c>
      <c r="O54" s="11" t="s">
        <v>322</v>
      </c>
      <c r="P54" s="11" t="s">
        <v>213</v>
      </c>
      <c r="Q54" s="11" t="s">
        <v>337</v>
      </c>
      <c r="R54" s="11" t="s">
        <v>43</v>
      </c>
      <c r="S54" s="11" t="s">
        <v>346</v>
      </c>
      <c r="T54" s="11" t="s">
        <v>354</v>
      </c>
      <c r="U54" s="11" t="s">
        <v>363</v>
      </c>
      <c r="V54" s="11" t="s">
        <v>371</v>
      </c>
      <c r="W54" s="11" t="s">
        <v>378</v>
      </c>
      <c r="X54" s="11" t="s">
        <v>386</v>
      </c>
      <c r="Y54" s="11" t="s">
        <v>393</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BE85-7F84-334E-8B81-90F23B9DAA51}">
  <dimension ref="A1:AO44"/>
  <sheetViews>
    <sheetView workbookViewId="0">
      <selection activeCell="G3" sqref="G3:G44"/>
    </sheetView>
  </sheetViews>
  <sheetFormatPr baseColWidth="10" defaultColWidth="8.83203125" defaultRowHeight="15" x14ac:dyDescent="0.2"/>
  <cols>
    <col min="1" max="1" width="30.5" style="2" bestFit="1" customWidth="1"/>
    <col min="2" max="8" width="10.83203125" style="2" bestFit="1" customWidth="1"/>
    <col min="9" max="16384" width="8.83203125" style="2"/>
  </cols>
  <sheetData>
    <row r="1" spans="1:41" x14ac:dyDescent="0.2">
      <c r="A1" s="1" t="s">
        <v>250</v>
      </c>
      <c r="B1" s="1" t="s">
        <v>1</v>
      </c>
      <c r="C1" s="1" t="s">
        <v>2</v>
      </c>
      <c r="D1" s="1" t="s">
        <v>3</v>
      </c>
      <c r="E1" s="1" t="s">
        <v>4</v>
      </c>
      <c r="F1" s="1" t="s">
        <v>5</v>
      </c>
      <c r="G1" s="11" t="s">
        <v>6</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2">
      <c r="A2" s="1" t="s">
        <v>7</v>
      </c>
      <c r="B2" s="1" t="s">
        <v>8</v>
      </c>
      <c r="C2" s="1" t="s">
        <v>9</v>
      </c>
      <c r="D2" s="1" t="s">
        <v>10</v>
      </c>
      <c r="E2" s="1" t="s">
        <v>11</v>
      </c>
      <c r="F2" s="1" t="s">
        <v>12</v>
      </c>
      <c r="G2" s="11" t="s">
        <v>13</v>
      </c>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x14ac:dyDescent="0.2">
      <c r="A3" s="1" t="s">
        <v>14</v>
      </c>
      <c r="B3" s="1" t="s">
        <v>15</v>
      </c>
      <c r="C3" s="1" t="s">
        <v>16</v>
      </c>
      <c r="D3" s="1" t="s">
        <v>17</v>
      </c>
      <c r="E3" s="1" t="s">
        <v>18</v>
      </c>
      <c r="F3" s="1" t="s">
        <v>19</v>
      </c>
      <c r="G3" s="11" t="s">
        <v>20</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x14ac:dyDescent="0.2">
      <c r="A4" s="1" t="s">
        <v>21</v>
      </c>
      <c r="B4" s="1" t="s">
        <v>22</v>
      </c>
      <c r="C4" s="1" t="s">
        <v>23</v>
      </c>
      <c r="D4" s="1" t="s">
        <v>24</v>
      </c>
      <c r="E4" s="1" t="s">
        <v>25</v>
      </c>
      <c r="F4" s="1" t="s">
        <v>26</v>
      </c>
      <c r="G4" s="11" t="s">
        <v>27</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x14ac:dyDescent="0.2">
      <c r="A5" s="1" t="s">
        <v>29</v>
      </c>
      <c r="B5" s="1" t="s">
        <v>30</v>
      </c>
      <c r="C5" s="1" t="s">
        <v>31</v>
      </c>
      <c r="D5" s="1" t="s">
        <v>32</v>
      </c>
      <c r="E5" s="1" t="s">
        <v>33</v>
      </c>
      <c r="F5" s="1" t="s">
        <v>34</v>
      </c>
      <c r="G5" s="11" t="s">
        <v>35</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x14ac:dyDescent="0.2">
      <c r="A6" s="1" t="s">
        <v>36</v>
      </c>
      <c r="B6" s="1" t="s">
        <v>37</v>
      </c>
      <c r="C6" s="1" t="s">
        <v>38</v>
      </c>
      <c r="D6" s="1" t="s">
        <v>39</v>
      </c>
      <c r="E6" s="1" t="s">
        <v>40</v>
      </c>
      <c r="F6" s="1" t="s">
        <v>41</v>
      </c>
      <c r="G6" s="11" t="s">
        <v>42</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row>
    <row r="7" spans="1:41" x14ac:dyDescent="0.2">
      <c r="A7" s="1" t="s">
        <v>44</v>
      </c>
      <c r="B7" s="1" t="s">
        <v>45</v>
      </c>
      <c r="C7" s="1" t="s">
        <v>46</v>
      </c>
      <c r="D7" s="1" t="s">
        <v>47</v>
      </c>
      <c r="E7" s="1" t="s">
        <v>48</v>
      </c>
      <c r="F7" s="1" t="s">
        <v>49</v>
      </c>
      <c r="G7" s="11" t="s">
        <v>50</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row>
    <row r="8" spans="1:41" x14ac:dyDescent="0.2">
      <c r="A8" s="1" t="s">
        <v>52</v>
      </c>
      <c r="B8" s="1" t="s">
        <v>53</v>
      </c>
      <c r="C8" s="1" t="s">
        <v>54</v>
      </c>
      <c r="D8" s="1" t="s">
        <v>55</v>
      </c>
      <c r="E8" s="1" t="s">
        <v>56</v>
      </c>
      <c r="F8" s="1" t="s">
        <v>57</v>
      </c>
      <c r="G8" s="11" t="s">
        <v>58</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row>
    <row r="9" spans="1:41" x14ac:dyDescent="0.2">
      <c r="A9" s="1" t="s">
        <v>59</v>
      </c>
      <c r="B9" s="1" t="s">
        <v>60</v>
      </c>
      <c r="C9" s="1" t="s">
        <v>61</v>
      </c>
      <c r="D9" s="1" t="s">
        <v>62</v>
      </c>
      <c r="E9" s="1" t="s">
        <v>63</v>
      </c>
      <c r="F9" s="1" t="s">
        <v>64</v>
      </c>
      <c r="G9" s="11" t="s">
        <v>65</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row>
    <row r="10" spans="1:41" x14ac:dyDescent="0.2">
      <c r="A10" s="1" t="s">
        <v>67</v>
      </c>
      <c r="B10" s="1" t="s">
        <v>68</v>
      </c>
      <c r="C10" s="1" t="s">
        <v>69</v>
      </c>
      <c r="D10" s="1" t="s">
        <v>70</v>
      </c>
      <c r="E10" s="1" t="s">
        <v>71</v>
      </c>
      <c r="F10" s="1" t="s">
        <v>72</v>
      </c>
      <c r="G10" s="11" t="s">
        <v>73</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row>
    <row r="11" spans="1:41" x14ac:dyDescent="0.2">
      <c r="A11" s="1" t="s">
        <v>74</v>
      </c>
      <c r="B11" s="1" t="s">
        <v>75</v>
      </c>
      <c r="C11" s="1" t="s">
        <v>76</v>
      </c>
      <c r="D11" s="1" t="s">
        <v>77</v>
      </c>
      <c r="E11" s="1" t="s">
        <v>78</v>
      </c>
      <c r="F11" s="1" t="s">
        <v>79</v>
      </c>
      <c r="G11" s="11" t="s">
        <v>80</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row>
    <row r="12" spans="1:41" x14ac:dyDescent="0.2">
      <c r="A12" s="1" t="s">
        <v>82</v>
      </c>
      <c r="B12" s="1" t="s">
        <v>83</v>
      </c>
      <c r="C12" s="1" t="s">
        <v>84</v>
      </c>
      <c r="D12" s="1" t="s">
        <v>85</v>
      </c>
      <c r="E12" s="1" t="s">
        <v>86</v>
      </c>
      <c r="F12" s="1" t="s">
        <v>87</v>
      </c>
      <c r="G12" s="11" t="s">
        <v>88</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row>
    <row r="13" spans="1:41" x14ac:dyDescent="0.2">
      <c r="A13" s="1" t="s">
        <v>89</v>
      </c>
      <c r="B13" s="1" t="s">
        <v>90</v>
      </c>
      <c r="C13" s="1" t="s">
        <v>90</v>
      </c>
      <c r="D13" s="1" t="s">
        <v>91</v>
      </c>
      <c r="E13" s="1" t="s">
        <v>92</v>
      </c>
      <c r="F13" s="1" t="s">
        <v>93</v>
      </c>
      <c r="G13" s="11" t="s">
        <v>94</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row>
    <row r="14" spans="1:41" x14ac:dyDescent="0.2">
      <c r="A14" s="1" t="s">
        <v>95</v>
      </c>
      <c r="B14" s="1" t="s">
        <v>96</v>
      </c>
      <c r="C14" s="1" t="s">
        <v>96</v>
      </c>
      <c r="D14" s="1" t="s">
        <v>97</v>
      </c>
      <c r="E14" s="1" t="s">
        <v>98</v>
      </c>
      <c r="F14" s="1" t="s">
        <v>99</v>
      </c>
      <c r="G14" s="11" t="s">
        <v>100</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row>
    <row r="15" spans="1:41" x14ac:dyDescent="0.2">
      <c r="A15" s="1" t="s">
        <v>101</v>
      </c>
      <c r="B15" s="1" t="s">
        <v>102</v>
      </c>
      <c r="C15" s="1" t="s">
        <v>102</v>
      </c>
      <c r="D15" s="1" t="s">
        <v>103</v>
      </c>
      <c r="E15" s="1" t="s">
        <v>104</v>
      </c>
      <c r="F15" s="1" t="s">
        <v>105</v>
      </c>
      <c r="G15" s="11" t="s">
        <v>103</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row>
    <row r="16" spans="1:41" x14ac:dyDescent="0.2">
      <c r="A16" s="1" t="s">
        <v>108</v>
      </c>
      <c r="B16" s="1" t="s">
        <v>43</v>
      </c>
      <c r="C16" s="1" t="s">
        <v>43</v>
      </c>
      <c r="D16" s="1" t="s">
        <v>43</v>
      </c>
      <c r="E16" s="1" t="s">
        <v>43</v>
      </c>
      <c r="F16" s="1" t="s">
        <v>43</v>
      </c>
      <c r="G16" s="11" t="s">
        <v>43</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row>
    <row r="17" spans="1:41" x14ac:dyDescent="0.2">
      <c r="A17" s="1" t="s">
        <v>109</v>
      </c>
      <c r="B17" s="1" t="s">
        <v>43</v>
      </c>
      <c r="C17" s="1" t="s">
        <v>43</v>
      </c>
      <c r="D17" s="1" t="s">
        <v>43</v>
      </c>
      <c r="E17" s="1" t="s">
        <v>110</v>
      </c>
      <c r="F17" s="1" t="s">
        <v>111</v>
      </c>
      <c r="G17" s="11" t="s">
        <v>112</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spans="1:41" x14ac:dyDescent="0.2">
      <c r="A18" s="1" t="s">
        <v>114</v>
      </c>
      <c r="B18" s="1" t="s">
        <v>115</v>
      </c>
      <c r="C18" s="1" t="s">
        <v>116</v>
      </c>
      <c r="D18" s="1" t="s">
        <v>117</v>
      </c>
      <c r="E18" s="1" t="s">
        <v>43</v>
      </c>
      <c r="F18" s="1" t="s">
        <v>43</v>
      </c>
      <c r="G18" s="11" t="s">
        <v>43</v>
      </c>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spans="1:41" x14ac:dyDescent="0.2">
      <c r="A19" s="1" t="s">
        <v>119</v>
      </c>
      <c r="B19" s="1" t="s">
        <v>120</v>
      </c>
      <c r="C19" s="1" t="s">
        <v>121</v>
      </c>
      <c r="D19" s="1" t="s">
        <v>122</v>
      </c>
      <c r="E19" s="1" t="s">
        <v>123</v>
      </c>
      <c r="F19" s="1" t="s">
        <v>124</v>
      </c>
      <c r="G19" s="11" t="s">
        <v>125</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spans="1:41" x14ac:dyDescent="0.2">
      <c r="A20" s="1" t="s">
        <v>126</v>
      </c>
      <c r="B20" s="1" t="s">
        <v>127</v>
      </c>
      <c r="C20" s="1" t="s">
        <v>128</v>
      </c>
      <c r="D20" s="1" t="s">
        <v>129</v>
      </c>
      <c r="E20" s="1" t="s">
        <v>51</v>
      </c>
      <c r="F20" s="1" t="s">
        <v>130</v>
      </c>
      <c r="G20" s="11" t="s">
        <v>131</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spans="1:41" x14ac:dyDescent="0.2">
      <c r="A21" s="1" t="s">
        <v>132</v>
      </c>
      <c r="B21" s="1" t="s">
        <v>133</v>
      </c>
      <c r="C21" s="1" t="s">
        <v>134</v>
      </c>
      <c r="D21" s="1" t="s">
        <v>135</v>
      </c>
      <c r="E21" s="1" t="s">
        <v>136</v>
      </c>
      <c r="F21" s="1" t="s">
        <v>137</v>
      </c>
      <c r="G21" s="11" t="s">
        <v>138</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spans="1:41" x14ac:dyDescent="0.2">
      <c r="A22" s="1" t="s">
        <v>142</v>
      </c>
      <c r="B22" s="1" t="s">
        <v>143</v>
      </c>
      <c r="C22" s="1" t="s">
        <v>144</v>
      </c>
      <c r="D22" s="1" t="s">
        <v>96</v>
      </c>
      <c r="E22" s="1" t="s">
        <v>145</v>
      </c>
      <c r="F22" s="1" t="s">
        <v>146</v>
      </c>
      <c r="G22" s="11" t="s">
        <v>147</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spans="1:41" x14ac:dyDescent="0.2">
      <c r="A23" s="1" t="s">
        <v>149</v>
      </c>
      <c r="B23" s="1" t="s">
        <v>43</v>
      </c>
      <c r="C23" s="1" t="s">
        <v>43</v>
      </c>
      <c r="D23" s="1" t="s">
        <v>43</v>
      </c>
      <c r="E23" s="1" t="s">
        <v>43</v>
      </c>
      <c r="F23" s="1" t="s">
        <v>43</v>
      </c>
      <c r="G23" s="11" t="s">
        <v>43</v>
      </c>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spans="1:41" x14ac:dyDescent="0.2">
      <c r="A24" s="1" t="s">
        <v>150</v>
      </c>
      <c r="B24" s="1" t="s">
        <v>151</v>
      </c>
      <c r="C24" s="1" t="s">
        <v>152</v>
      </c>
      <c r="D24" s="1" t="s">
        <v>153</v>
      </c>
      <c r="E24" s="1" t="s">
        <v>154</v>
      </c>
      <c r="F24" s="1" t="s">
        <v>155</v>
      </c>
      <c r="G24" s="11" t="s">
        <v>156</v>
      </c>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spans="1:41" x14ac:dyDescent="0.2">
      <c r="A25" s="1" t="s">
        <v>157</v>
      </c>
      <c r="B25" s="1" t="s">
        <v>158</v>
      </c>
      <c r="C25" s="1" t="s">
        <v>159</v>
      </c>
      <c r="D25" s="1" t="s">
        <v>160</v>
      </c>
      <c r="E25" s="1" t="s">
        <v>161</v>
      </c>
      <c r="F25" s="1" t="s">
        <v>162</v>
      </c>
      <c r="G25" s="11" t="s">
        <v>163</v>
      </c>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spans="1:41" x14ac:dyDescent="0.2">
      <c r="A26" s="1" t="s">
        <v>164</v>
      </c>
      <c r="B26" s="1" t="s">
        <v>165</v>
      </c>
      <c r="C26" s="1" t="s">
        <v>166</v>
      </c>
      <c r="D26" s="1" t="s">
        <v>167</v>
      </c>
      <c r="E26" s="1" t="s">
        <v>168</v>
      </c>
      <c r="F26" s="1" t="s">
        <v>169</v>
      </c>
      <c r="G26" s="11" t="s">
        <v>170</v>
      </c>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spans="1:41" x14ac:dyDescent="0.2">
      <c r="A27" s="1" t="s">
        <v>171</v>
      </c>
      <c r="B27" s="1" t="s">
        <v>172</v>
      </c>
      <c r="C27" s="1" t="s">
        <v>173</v>
      </c>
      <c r="D27" s="1" t="s">
        <v>174</v>
      </c>
      <c r="E27" s="1" t="s">
        <v>175</v>
      </c>
      <c r="F27" s="1" t="s">
        <v>176</v>
      </c>
      <c r="G27" s="11" t="s">
        <v>177</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spans="1:41" x14ac:dyDescent="0.2">
      <c r="A28" s="1" t="s">
        <v>179</v>
      </c>
      <c r="B28" s="1" t="s">
        <v>43</v>
      </c>
      <c r="C28" s="1" t="s">
        <v>43</v>
      </c>
      <c r="D28" s="1" t="s">
        <v>43</v>
      </c>
      <c r="E28" s="1" t="s">
        <v>180</v>
      </c>
      <c r="F28" s="1" t="s">
        <v>181</v>
      </c>
      <c r="G28" s="11" t="s">
        <v>182</v>
      </c>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spans="1:41" x14ac:dyDescent="0.2">
      <c r="A29" s="1" t="s">
        <v>183</v>
      </c>
      <c r="B29" s="1" t="s">
        <v>43</v>
      </c>
      <c r="C29" s="1" t="s">
        <v>43</v>
      </c>
      <c r="D29" s="1" t="s">
        <v>43</v>
      </c>
      <c r="E29" s="1" t="s">
        <v>43</v>
      </c>
      <c r="F29" s="1" t="s">
        <v>43</v>
      </c>
      <c r="G29" s="11" t="s">
        <v>43</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spans="1:41" x14ac:dyDescent="0.2">
      <c r="A30" s="1" t="s">
        <v>184</v>
      </c>
      <c r="B30" s="1" t="s">
        <v>185</v>
      </c>
      <c r="C30" s="1" t="s">
        <v>186</v>
      </c>
      <c r="D30" s="1" t="s">
        <v>187</v>
      </c>
      <c r="E30" s="1" t="s">
        <v>188</v>
      </c>
      <c r="F30" s="1" t="s">
        <v>189</v>
      </c>
      <c r="G30" s="11" t="s">
        <v>51</v>
      </c>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spans="1:41" x14ac:dyDescent="0.2">
      <c r="A31" s="1" t="s">
        <v>190</v>
      </c>
      <c r="B31" s="1" t="s">
        <v>191</v>
      </c>
      <c r="C31" s="1" t="s">
        <v>192</v>
      </c>
      <c r="D31" s="1" t="s">
        <v>193</v>
      </c>
      <c r="E31" s="1" t="s">
        <v>194</v>
      </c>
      <c r="F31" s="1" t="s">
        <v>195</v>
      </c>
      <c r="G31" s="11" t="s">
        <v>196</v>
      </c>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spans="1:41" x14ac:dyDescent="0.2">
      <c r="A32" s="1" t="s">
        <v>197</v>
      </c>
      <c r="B32" s="1" t="s">
        <v>198</v>
      </c>
      <c r="C32" s="1" t="s">
        <v>199</v>
      </c>
      <c r="D32" s="1" t="s">
        <v>200</v>
      </c>
      <c r="E32" s="1" t="s">
        <v>201</v>
      </c>
      <c r="F32" s="1" t="s">
        <v>202</v>
      </c>
      <c r="G32" s="11" t="s">
        <v>203</v>
      </c>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spans="1:41" x14ac:dyDescent="0.2">
      <c r="A33" s="1" t="s">
        <v>204</v>
      </c>
      <c r="B33" s="1" t="s">
        <v>43</v>
      </c>
      <c r="C33" s="1" t="s">
        <v>43</v>
      </c>
      <c r="D33" s="1" t="s">
        <v>43</v>
      </c>
      <c r="E33" s="1" t="s">
        <v>43</v>
      </c>
      <c r="F33" s="1" t="s">
        <v>43</v>
      </c>
      <c r="G33" s="11" t="s">
        <v>43</v>
      </c>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spans="1:41" x14ac:dyDescent="0.2">
      <c r="A34" s="1" t="s">
        <v>205</v>
      </c>
      <c r="B34" s="1" t="s">
        <v>198</v>
      </c>
      <c r="C34" s="1" t="s">
        <v>199</v>
      </c>
      <c r="D34" s="1" t="s">
        <v>200</v>
      </c>
      <c r="E34" s="1" t="s">
        <v>201</v>
      </c>
      <c r="F34" s="1" t="s">
        <v>202</v>
      </c>
      <c r="G34" s="11" t="s">
        <v>203</v>
      </c>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spans="1:41" x14ac:dyDescent="0.2">
      <c r="A35" s="1" t="s">
        <v>206</v>
      </c>
      <c r="B35" s="1" t="s">
        <v>207</v>
      </c>
      <c r="C35" s="1" t="s">
        <v>208</v>
      </c>
      <c r="D35" s="1" t="s">
        <v>209</v>
      </c>
      <c r="E35" s="1" t="s">
        <v>210</v>
      </c>
      <c r="F35" s="1" t="s">
        <v>211</v>
      </c>
      <c r="G35" s="11" t="s">
        <v>212</v>
      </c>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spans="1:41" x14ac:dyDescent="0.2">
      <c r="A36" s="1" t="s">
        <v>214</v>
      </c>
      <c r="B36" s="1" t="s">
        <v>215</v>
      </c>
      <c r="C36" s="1" t="s">
        <v>216</v>
      </c>
      <c r="D36" s="1" t="s">
        <v>217</v>
      </c>
      <c r="E36" s="1" t="s">
        <v>218</v>
      </c>
      <c r="F36" s="1" t="s">
        <v>219</v>
      </c>
      <c r="G36" s="11" t="s">
        <v>220</v>
      </c>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spans="1:41" x14ac:dyDescent="0.2">
      <c r="A37" s="1" t="s">
        <v>223</v>
      </c>
      <c r="B37" s="1" t="s">
        <v>224</v>
      </c>
      <c r="C37" s="1" t="s">
        <v>224</v>
      </c>
      <c r="D37" s="1" t="s">
        <v>224</v>
      </c>
      <c r="E37" s="1" t="s">
        <v>224</v>
      </c>
      <c r="F37" s="1" t="s">
        <v>224</v>
      </c>
      <c r="G37" s="11" t="s">
        <v>224</v>
      </c>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spans="1:41" x14ac:dyDescent="0.2">
      <c r="A38" s="1" t="s">
        <v>225</v>
      </c>
      <c r="B38" s="1" t="s">
        <v>43</v>
      </c>
      <c r="C38" s="1" t="s">
        <v>43</v>
      </c>
      <c r="D38" s="1" t="s">
        <v>43</v>
      </c>
      <c r="E38" s="1" t="s">
        <v>43</v>
      </c>
      <c r="F38" s="1" t="s">
        <v>43</v>
      </c>
      <c r="G38" s="11" t="s">
        <v>43</v>
      </c>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spans="1:41" x14ac:dyDescent="0.2">
      <c r="A39" s="1" t="s">
        <v>226</v>
      </c>
      <c r="B39" s="1" t="s">
        <v>227</v>
      </c>
      <c r="C39" s="1" t="s">
        <v>228</v>
      </c>
      <c r="D39" s="1" t="s">
        <v>229</v>
      </c>
      <c r="E39" s="1" t="s">
        <v>230</v>
      </c>
      <c r="F39" s="1" t="s">
        <v>231</v>
      </c>
      <c r="G39" s="11" t="s">
        <v>232</v>
      </c>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spans="1:41" x14ac:dyDescent="0.2">
      <c r="A40" s="1" t="s">
        <v>233</v>
      </c>
      <c r="B40" s="1" t="s">
        <v>68</v>
      </c>
      <c r="C40" s="1" t="s">
        <v>69</v>
      </c>
      <c r="D40" s="1" t="s">
        <v>70</v>
      </c>
      <c r="E40" s="1" t="s">
        <v>71</v>
      </c>
      <c r="F40" s="1" t="s">
        <v>72</v>
      </c>
      <c r="G40" s="11" t="s">
        <v>73</v>
      </c>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spans="1:41" x14ac:dyDescent="0.2">
      <c r="A41" s="1" t="s">
        <v>234</v>
      </c>
      <c r="B41" s="1" t="s">
        <v>68</v>
      </c>
      <c r="C41" s="1" t="s">
        <v>69</v>
      </c>
      <c r="D41" s="1" t="s">
        <v>70</v>
      </c>
      <c r="E41" s="1" t="s">
        <v>71</v>
      </c>
      <c r="F41" s="1" t="s">
        <v>72</v>
      </c>
      <c r="G41" s="11" t="s">
        <v>73</v>
      </c>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spans="1:41" x14ac:dyDescent="0.2">
      <c r="A42" s="1" t="s">
        <v>235</v>
      </c>
      <c r="B42" s="1" t="s">
        <v>37</v>
      </c>
      <c r="C42" s="1" t="s">
        <v>38</v>
      </c>
      <c r="D42" s="1" t="s">
        <v>39</v>
      </c>
      <c r="E42" s="1" t="s">
        <v>40</v>
      </c>
      <c r="F42" s="1" t="s">
        <v>41</v>
      </c>
      <c r="G42" s="11" t="s">
        <v>42</v>
      </c>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spans="1:41" x14ac:dyDescent="0.2">
      <c r="A43" s="1" t="s">
        <v>236</v>
      </c>
      <c r="B43" s="1" t="s">
        <v>237</v>
      </c>
      <c r="C43" s="1" t="s">
        <v>238</v>
      </c>
      <c r="D43" s="1" t="s">
        <v>239</v>
      </c>
      <c r="E43" s="1" t="s">
        <v>240</v>
      </c>
      <c r="F43" s="1" t="s">
        <v>241</v>
      </c>
      <c r="G43" s="11" t="s">
        <v>242</v>
      </c>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spans="1:41" x14ac:dyDescent="0.2">
      <c r="A44" s="1" t="s">
        <v>244</v>
      </c>
      <c r="B44" s="1" t="s">
        <v>245</v>
      </c>
      <c r="C44" s="1" t="s">
        <v>246</v>
      </c>
      <c r="D44" s="1" t="s">
        <v>247</v>
      </c>
      <c r="E44" s="1" t="s">
        <v>248</v>
      </c>
      <c r="F44" s="1" t="s">
        <v>249</v>
      </c>
      <c r="G44" s="11" t="s">
        <v>48</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198D1-96E9-2741-9A1C-CBA02576B280}">
  <dimension ref="A1:AM33"/>
  <sheetViews>
    <sheetView workbookViewId="0">
      <selection activeCell="G33" sqref="A1:G33"/>
    </sheetView>
  </sheetViews>
  <sheetFormatPr baseColWidth="10" defaultColWidth="8.83203125" defaultRowHeight="15" x14ac:dyDescent="0.2"/>
  <cols>
    <col min="1" max="1" width="36" style="2" bestFit="1" customWidth="1"/>
    <col min="2" max="2" width="22.83203125" style="2" bestFit="1" customWidth="1"/>
    <col min="3" max="7" width="10.83203125" style="2" bestFit="1" customWidth="1"/>
    <col min="8" max="16384" width="8.83203125" style="2"/>
  </cols>
  <sheetData>
    <row r="1" spans="1:39" x14ac:dyDescent="0.2">
      <c r="A1" s="1" t="s">
        <v>0</v>
      </c>
      <c r="B1" s="1" t="s">
        <v>251</v>
      </c>
      <c r="C1" s="1" t="s">
        <v>1</v>
      </c>
      <c r="D1" s="1" t="s">
        <v>2</v>
      </c>
      <c r="E1" s="1" t="s">
        <v>3</v>
      </c>
      <c r="F1" s="1" t="s">
        <v>4</v>
      </c>
      <c r="G1" s="1" t="s">
        <v>5</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
      <c r="A2" s="1" t="s">
        <v>7</v>
      </c>
      <c r="B2" s="1" t="s">
        <v>253</v>
      </c>
      <c r="C2" s="1" t="s">
        <v>8</v>
      </c>
      <c r="D2" s="1" t="s">
        <v>9</v>
      </c>
      <c r="E2" s="1" t="s">
        <v>10</v>
      </c>
      <c r="F2" s="1" t="s">
        <v>11</v>
      </c>
      <c r="G2" s="1" t="s">
        <v>12</v>
      </c>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x14ac:dyDescent="0.2">
      <c r="A3" s="1" t="s">
        <v>394</v>
      </c>
      <c r="B3" s="1" t="s">
        <v>340</v>
      </c>
      <c r="C3" s="1" t="s">
        <v>341</v>
      </c>
      <c r="D3" s="1" t="s">
        <v>342</v>
      </c>
      <c r="E3" s="1" t="s">
        <v>343</v>
      </c>
      <c r="F3" s="1" t="s">
        <v>344</v>
      </c>
      <c r="G3" s="1" t="s">
        <v>345</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x14ac:dyDescent="0.2">
      <c r="A4" s="1" t="s">
        <v>395</v>
      </c>
      <c r="B4" s="1" t="s">
        <v>396</v>
      </c>
      <c r="C4" s="1" t="s">
        <v>397</v>
      </c>
      <c r="D4" s="1" t="s">
        <v>398</v>
      </c>
      <c r="E4" s="1" t="s">
        <v>399</v>
      </c>
      <c r="F4" s="1" t="s">
        <v>400</v>
      </c>
      <c r="G4" s="1" t="s">
        <v>401</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39" x14ac:dyDescent="0.2">
      <c r="A5" s="1" t="s">
        <v>347</v>
      </c>
      <c r="B5" s="1" t="s">
        <v>402</v>
      </c>
      <c r="C5" s="1" t="s">
        <v>402</v>
      </c>
      <c r="D5" s="1" t="s">
        <v>350</v>
      </c>
      <c r="E5" s="1" t="s">
        <v>351</v>
      </c>
      <c r="F5" s="1" t="s">
        <v>352</v>
      </c>
      <c r="G5" s="1" t="s">
        <v>353</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spans="1:39" x14ac:dyDescent="0.2">
      <c r="A6" s="1" t="s">
        <v>403</v>
      </c>
      <c r="B6" s="1" t="s">
        <v>404</v>
      </c>
      <c r="C6" s="1" t="s">
        <v>405</v>
      </c>
      <c r="D6" s="1" t="s">
        <v>406</v>
      </c>
      <c r="E6" s="1" t="s">
        <v>407</v>
      </c>
      <c r="F6" s="1" t="s">
        <v>408</v>
      </c>
      <c r="G6" s="1" t="s">
        <v>409</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spans="1:39" x14ac:dyDescent="0.2">
      <c r="A7" s="1" t="s">
        <v>411</v>
      </c>
      <c r="B7" s="1" t="s">
        <v>412</v>
      </c>
      <c r="C7" s="1" t="s">
        <v>413</v>
      </c>
      <c r="D7" s="1" t="s">
        <v>414</v>
      </c>
      <c r="E7" s="1" t="s">
        <v>415</v>
      </c>
      <c r="F7" s="1" t="s">
        <v>416</v>
      </c>
      <c r="G7" s="1" t="s">
        <v>417</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spans="1:39" x14ac:dyDescent="0.2">
      <c r="A8" s="1" t="s">
        <v>418</v>
      </c>
      <c r="B8" s="1" t="s">
        <v>419</v>
      </c>
      <c r="C8" s="1" t="s">
        <v>312</v>
      </c>
      <c r="D8" s="1" t="s">
        <v>420</v>
      </c>
      <c r="E8" s="1" t="s">
        <v>221</v>
      </c>
      <c r="F8" s="1" t="s">
        <v>410</v>
      </c>
      <c r="G8" s="1" t="s">
        <v>420</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spans="1:39" x14ac:dyDescent="0.2">
      <c r="A9" s="1" t="s">
        <v>421</v>
      </c>
      <c r="B9" s="1" t="s">
        <v>422</v>
      </c>
      <c r="C9" s="1" t="s">
        <v>423</v>
      </c>
      <c r="D9" s="1" t="s">
        <v>355</v>
      </c>
      <c r="E9" s="1" t="s">
        <v>424</v>
      </c>
      <c r="F9" s="1" t="s">
        <v>425</v>
      </c>
      <c r="G9" s="1" t="s">
        <v>140</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spans="1:39" x14ac:dyDescent="0.2">
      <c r="A10" s="1" t="s">
        <v>426</v>
      </c>
      <c r="B10" s="1" t="s">
        <v>427</v>
      </c>
      <c r="C10" s="1" t="s">
        <v>428</v>
      </c>
      <c r="D10" s="1" t="s">
        <v>429</v>
      </c>
      <c r="E10" s="1" t="s">
        <v>430</v>
      </c>
      <c r="F10" s="1" t="s">
        <v>431</v>
      </c>
      <c r="G10" s="1" t="s">
        <v>432</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spans="1:39" x14ac:dyDescent="0.2">
      <c r="A11" s="1" t="s">
        <v>52</v>
      </c>
      <c r="B11" s="1" t="s">
        <v>434</v>
      </c>
      <c r="C11" s="1" t="s">
        <v>435</v>
      </c>
      <c r="D11" s="1" t="s">
        <v>436</v>
      </c>
      <c r="E11" s="1" t="s">
        <v>437</v>
      </c>
      <c r="F11" s="1" t="s">
        <v>438</v>
      </c>
      <c r="G11" s="1" t="s">
        <v>133</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spans="1:39" x14ac:dyDescent="0.2">
      <c r="A12" s="1" t="s">
        <v>126</v>
      </c>
      <c r="B12" s="1" t="s">
        <v>440</v>
      </c>
      <c r="C12" s="1" t="s">
        <v>433</v>
      </c>
      <c r="D12" s="1" t="s">
        <v>441</v>
      </c>
      <c r="E12" s="1" t="s">
        <v>442</v>
      </c>
      <c r="F12" s="1" t="s">
        <v>243</v>
      </c>
      <c r="G12" s="1" t="s">
        <v>443</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spans="1:39" x14ac:dyDescent="0.2">
      <c r="A13" s="1" t="s">
        <v>149</v>
      </c>
      <c r="B13" s="1" t="s">
        <v>444</v>
      </c>
      <c r="C13" s="1" t="s">
        <v>445</v>
      </c>
      <c r="D13" s="1" t="s">
        <v>446</v>
      </c>
      <c r="E13" s="1" t="s">
        <v>447</v>
      </c>
      <c r="F13" s="1" t="s">
        <v>448</v>
      </c>
      <c r="G13" s="1" t="s">
        <v>449</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spans="1:39" x14ac:dyDescent="0.2">
      <c r="A14" s="1" t="s">
        <v>450</v>
      </c>
      <c r="B14" s="1" t="s">
        <v>451</v>
      </c>
      <c r="C14" s="1" t="s">
        <v>43</v>
      </c>
      <c r="D14" s="1" t="s">
        <v>43</v>
      </c>
      <c r="E14" s="1" t="s">
        <v>43</v>
      </c>
      <c r="F14" s="1" t="s">
        <v>43</v>
      </c>
      <c r="G14" s="1" t="s">
        <v>43</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spans="1:39" x14ac:dyDescent="0.2">
      <c r="A15" s="1" t="s">
        <v>452</v>
      </c>
      <c r="B15" s="1" t="s">
        <v>453</v>
      </c>
      <c r="C15" s="1" t="s">
        <v>439</v>
      </c>
      <c r="D15" s="1" t="s">
        <v>113</v>
      </c>
      <c r="E15" s="1" t="s">
        <v>454</v>
      </c>
      <c r="F15" s="1" t="s">
        <v>455</v>
      </c>
      <c r="G15" s="1" t="s">
        <v>456</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spans="1:39" x14ac:dyDescent="0.2">
      <c r="A16" s="1" t="s">
        <v>457</v>
      </c>
      <c r="B16" s="1" t="s">
        <v>458</v>
      </c>
      <c r="C16" s="1" t="s">
        <v>459</v>
      </c>
      <c r="D16" s="1" t="s">
        <v>460</v>
      </c>
      <c r="E16" s="1" t="s">
        <v>461</v>
      </c>
      <c r="F16" s="1" t="s">
        <v>462</v>
      </c>
      <c r="G16" s="1" t="s">
        <v>463</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spans="1:39" x14ac:dyDescent="0.2">
      <c r="A17" s="1" t="s">
        <v>464</v>
      </c>
      <c r="B17" s="1" t="s">
        <v>43</v>
      </c>
      <c r="C17" s="1" t="s">
        <v>43</v>
      </c>
      <c r="D17" s="1" t="s">
        <v>43</v>
      </c>
      <c r="E17" s="1" t="s">
        <v>43</v>
      </c>
      <c r="F17" s="1" t="s">
        <v>43</v>
      </c>
      <c r="G17" s="1" t="s">
        <v>43</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row>
    <row r="18" spans="1:39" x14ac:dyDescent="0.2">
      <c r="A18" s="1" t="s">
        <v>466</v>
      </c>
      <c r="B18" s="1" t="s">
        <v>467</v>
      </c>
      <c r="C18" s="1" t="s">
        <v>468</v>
      </c>
      <c r="D18" s="1" t="s">
        <v>469</v>
      </c>
      <c r="E18" s="1" t="s">
        <v>470</v>
      </c>
      <c r="F18" s="1" t="s">
        <v>471</v>
      </c>
      <c r="G18" s="1" t="s">
        <v>472</v>
      </c>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row>
    <row r="19" spans="1:39" x14ac:dyDescent="0.2">
      <c r="A19" s="1" t="s">
        <v>473</v>
      </c>
      <c r="B19" s="1" t="s">
        <v>474</v>
      </c>
      <c r="C19" s="1" t="s">
        <v>475</v>
      </c>
      <c r="D19" s="1" t="s">
        <v>476</v>
      </c>
      <c r="E19" s="1" t="s">
        <v>83</v>
      </c>
      <c r="F19" s="1" t="s">
        <v>477</v>
      </c>
      <c r="G19" s="1" t="s">
        <v>478</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spans="1:39" x14ac:dyDescent="0.2">
      <c r="A20" s="1" t="s">
        <v>479</v>
      </c>
      <c r="B20" s="1" t="s">
        <v>480</v>
      </c>
      <c r="C20" s="1" t="s">
        <v>305</v>
      </c>
      <c r="D20" s="1" t="s">
        <v>481</v>
      </c>
      <c r="E20" s="1" t="s">
        <v>482</v>
      </c>
      <c r="F20" s="1" t="s">
        <v>483</v>
      </c>
      <c r="G20" s="1" t="s">
        <v>484</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spans="1:39" x14ac:dyDescent="0.2">
      <c r="A21" s="1" t="s">
        <v>485</v>
      </c>
      <c r="B21" s="1" t="s">
        <v>486</v>
      </c>
      <c r="C21" s="1" t="s">
        <v>487</v>
      </c>
      <c r="D21" s="1" t="s">
        <v>488</v>
      </c>
      <c r="E21" s="1" t="s">
        <v>489</v>
      </c>
      <c r="F21" s="1" t="s">
        <v>490</v>
      </c>
      <c r="G21" s="1" t="s">
        <v>491</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spans="1:39" x14ac:dyDescent="0.2">
      <c r="A22" s="1" t="s">
        <v>492</v>
      </c>
      <c r="B22" s="1" t="s">
        <v>493</v>
      </c>
      <c r="C22" s="1" t="s">
        <v>494</v>
      </c>
      <c r="D22" s="1" t="s">
        <v>43</v>
      </c>
      <c r="E22" s="1" t="s">
        <v>431</v>
      </c>
      <c r="F22" s="1" t="s">
        <v>139</v>
      </c>
      <c r="G22" s="1" t="s">
        <v>495</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spans="1:39" x14ac:dyDescent="0.2">
      <c r="A23" s="1" t="s">
        <v>496</v>
      </c>
      <c r="B23" s="1" t="s">
        <v>497</v>
      </c>
      <c r="C23" s="1" t="s">
        <v>497</v>
      </c>
      <c r="D23" s="1" t="s">
        <v>43</v>
      </c>
      <c r="E23" s="1" t="s">
        <v>43</v>
      </c>
      <c r="F23" s="1" t="s">
        <v>43</v>
      </c>
      <c r="G23" s="1" t="s">
        <v>43</v>
      </c>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spans="1:39" x14ac:dyDescent="0.2">
      <c r="A24" s="1" t="s">
        <v>498</v>
      </c>
      <c r="B24" s="1" t="s">
        <v>499</v>
      </c>
      <c r="C24" s="1" t="s">
        <v>500</v>
      </c>
      <c r="D24" s="1" t="s">
        <v>501</v>
      </c>
      <c r="E24" s="1" t="s">
        <v>502</v>
      </c>
      <c r="F24" s="1" t="s">
        <v>503</v>
      </c>
      <c r="G24" s="1" t="s">
        <v>504</v>
      </c>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spans="1:39" x14ac:dyDescent="0.2">
      <c r="A25" s="1" t="s">
        <v>505</v>
      </c>
      <c r="B25" s="1" t="s">
        <v>506</v>
      </c>
      <c r="C25" s="1" t="s">
        <v>507</v>
      </c>
      <c r="D25" s="1" t="s">
        <v>508</v>
      </c>
      <c r="E25" s="1" t="s">
        <v>509</v>
      </c>
      <c r="F25" s="1" t="s">
        <v>510</v>
      </c>
      <c r="G25" s="1" t="s">
        <v>511</v>
      </c>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spans="1:39" x14ac:dyDescent="0.2">
      <c r="A26" s="1" t="s">
        <v>513</v>
      </c>
      <c r="B26" s="1" t="s">
        <v>514</v>
      </c>
      <c r="C26" s="1" t="s">
        <v>515</v>
      </c>
      <c r="D26" s="1" t="s">
        <v>516</v>
      </c>
      <c r="E26" s="1" t="s">
        <v>517</v>
      </c>
      <c r="F26" s="1" t="s">
        <v>333</v>
      </c>
      <c r="G26" s="1" t="s">
        <v>518</v>
      </c>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spans="1:39" x14ac:dyDescent="0.2">
      <c r="A27" s="1" t="s">
        <v>519</v>
      </c>
      <c r="B27" s="1" t="s">
        <v>520</v>
      </c>
      <c r="C27" s="1" t="s">
        <v>465</v>
      </c>
      <c r="D27" s="1" t="s">
        <v>318</v>
      </c>
      <c r="E27" s="1" t="s">
        <v>521</v>
      </c>
      <c r="F27" s="1" t="s">
        <v>453</v>
      </c>
      <c r="G27" s="1" t="s">
        <v>522</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spans="1:39" x14ac:dyDescent="0.2">
      <c r="A28" s="1" t="s">
        <v>523</v>
      </c>
      <c r="B28" s="1" t="s">
        <v>524</v>
      </c>
      <c r="C28" s="1" t="s">
        <v>525</v>
      </c>
      <c r="D28" s="1" t="s">
        <v>526</v>
      </c>
      <c r="E28" s="1" t="s">
        <v>512</v>
      </c>
      <c r="F28" s="1" t="s">
        <v>527</v>
      </c>
      <c r="G28" s="1" t="s">
        <v>528</v>
      </c>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spans="1:39" x14ac:dyDescent="0.2">
      <c r="A29" s="1" t="s">
        <v>529</v>
      </c>
      <c r="B29" s="1" t="s">
        <v>530</v>
      </c>
      <c r="C29" s="1" t="s">
        <v>31</v>
      </c>
      <c r="D29" s="1" t="s">
        <v>32</v>
      </c>
      <c r="E29" s="1" t="s">
        <v>33</v>
      </c>
      <c r="F29" s="1" t="s">
        <v>34</v>
      </c>
      <c r="G29" s="1" t="s">
        <v>35</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spans="1:39" x14ac:dyDescent="0.2">
      <c r="A30" s="1" t="s">
        <v>531</v>
      </c>
      <c r="B30" s="1" t="s">
        <v>532</v>
      </c>
      <c r="C30" s="1" t="s">
        <v>30</v>
      </c>
      <c r="D30" s="1" t="s">
        <v>31</v>
      </c>
      <c r="E30" s="1" t="s">
        <v>32</v>
      </c>
      <c r="F30" s="1" t="s">
        <v>33</v>
      </c>
      <c r="G30" s="1" t="s">
        <v>34</v>
      </c>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spans="1:39" x14ac:dyDescent="0.2">
      <c r="A31" s="1" t="s">
        <v>533</v>
      </c>
      <c r="B31" s="1" t="s">
        <v>534</v>
      </c>
      <c r="C31" s="1" t="s">
        <v>535</v>
      </c>
      <c r="D31" s="1" t="s">
        <v>536</v>
      </c>
      <c r="E31" s="1" t="s">
        <v>537</v>
      </c>
      <c r="F31" s="1" t="s">
        <v>538</v>
      </c>
      <c r="G31" s="1" t="s">
        <v>539</v>
      </c>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spans="1:39" x14ac:dyDescent="0.2">
      <c r="A32" s="1" t="s">
        <v>540</v>
      </c>
      <c r="B32" s="1" t="s">
        <v>396</v>
      </c>
      <c r="C32" s="1" t="s">
        <v>397</v>
      </c>
      <c r="D32" s="1" t="s">
        <v>398</v>
      </c>
      <c r="E32" s="1" t="s">
        <v>399</v>
      </c>
      <c r="F32" s="1" t="s">
        <v>400</v>
      </c>
      <c r="G32" s="1" t="s">
        <v>401</v>
      </c>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spans="1:39" x14ac:dyDescent="0.2">
      <c r="A33" s="1" t="s">
        <v>541</v>
      </c>
      <c r="B33" s="1" t="s">
        <v>458</v>
      </c>
      <c r="C33" s="1" t="s">
        <v>459</v>
      </c>
      <c r="D33" s="1" t="s">
        <v>460</v>
      </c>
      <c r="E33" s="1" t="s">
        <v>461</v>
      </c>
      <c r="F33" s="1" t="s">
        <v>462</v>
      </c>
      <c r="G33" s="1" t="s">
        <v>463</v>
      </c>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06732-8BC5-DD42-B5C7-2DFFB5C27811}">
  <dimension ref="A1:AO17"/>
  <sheetViews>
    <sheetView workbookViewId="0">
      <selection activeCell="A16" sqref="A16:F22"/>
    </sheetView>
  </sheetViews>
  <sheetFormatPr baseColWidth="10" defaultColWidth="8.83203125" defaultRowHeight="15" x14ac:dyDescent="0.2"/>
  <cols>
    <col min="1" max="1" width="23.1640625" style="2" bestFit="1" customWidth="1"/>
    <col min="2" max="2" width="16" style="2" bestFit="1" customWidth="1"/>
    <col min="3" max="3" width="23.1640625" style="2" bestFit="1" customWidth="1"/>
    <col min="4" max="4" width="12" style="2" bestFit="1" customWidth="1"/>
    <col min="5" max="5" width="14.83203125" style="2" bestFit="1" customWidth="1"/>
    <col min="6" max="6" width="10.83203125" style="2" bestFit="1" customWidth="1"/>
    <col min="7" max="7" width="12.1640625" style="2" bestFit="1" customWidth="1"/>
    <col min="8" max="16384" width="8.83203125" style="2"/>
  </cols>
  <sheetData>
    <row r="1" spans="1:41" x14ac:dyDescent="0.2">
      <c r="A1" s="1" t="s">
        <v>0</v>
      </c>
      <c r="B1" s="1" t="s">
        <v>557</v>
      </c>
      <c r="C1" s="1" t="s">
        <v>558</v>
      </c>
      <c r="D1" s="1" t="s">
        <v>559</v>
      </c>
      <c r="E1" s="1" t="s">
        <v>560</v>
      </c>
      <c r="F1" s="1" t="s">
        <v>561</v>
      </c>
      <c r="G1" s="1" t="s">
        <v>562</v>
      </c>
      <c r="H1" s="1" t="s">
        <v>563</v>
      </c>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2">
      <c r="A2" s="1" t="s">
        <v>564</v>
      </c>
      <c r="B2" s="1" t="s">
        <v>565</v>
      </c>
      <c r="C2" s="1" t="s">
        <v>565</v>
      </c>
      <c r="D2" s="1" t="s">
        <v>566</v>
      </c>
      <c r="E2" s="1" t="s">
        <v>567</v>
      </c>
      <c r="F2" s="1" t="s">
        <v>568</v>
      </c>
      <c r="G2" s="1" t="s">
        <v>569</v>
      </c>
      <c r="H2" s="1" t="s">
        <v>570</v>
      </c>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x14ac:dyDescent="0.2">
      <c r="A3" s="1" t="s">
        <v>571</v>
      </c>
      <c r="B3" s="1" t="s">
        <v>572</v>
      </c>
      <c r="C3" s="1" t="s">
        <v>573</v>
      </c>
      <c r="D3" s="1" t="s">
        <v>574</v>
      </c>
      <c r="E3" s="1" t="s">
        <v>28</v>
      </c>
      <c r="F3" s="1" t="s">
        <v>148</v>
      </c>
      <c r="G3" s="1" t="s">
        <v>575</v>
      </c>
      <c r="H3" s="1" t="s">
        <v>576</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x14ac:dyDescent="0.2">
      <c r="A4" s="1" t="s">
        <v>577</v>
      </c>
      <c r="B4" s="1" t="s">
        <v>578</v>
      </c>
      <c r="C4" s="1" t="s">
        <v>579</v>
      </c>
      <c r="D4" s="1" t="s">
        <v>580</v>
      </c>
      <c r="E4" s="1" t="s">
        <v>581</v>
      </c>
      <c r="F4" s="1" t="s">
        <v>582</v>
      </c>
      <c r="G4" s="1" t="s">
        <v>583</v>
      </c>
      <c r="H4" s="1" t="s">
        <v>584</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x14ac:dyDescent="0.2">
      <c r="A5" s="1" t="s">
        <v>585</v>
      </c>
      <c r="B5" s="1" t="s">
        <v>365</v>
      </c>
      <c r="C5" s="1" t="s">
        <v>366</v>
      </c>
      <c r="D5" s="1" t="s">
        <v>367</v>
      </c>
      <c r="E5" s="1" t="s">
        <v>368</v>
      </c>
      <c r="F5" s="1" t="s">
        <v>369</v>
      </c>
      <c r="G5" s="1" t="s">
        <v>370</v>
      </c>
      <c r="H5" s="1" t="s">
        <v>371</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x14ac:dyDescent="0.2">
      <c r="A6" s="1" t="s">
        <v>586</v>
      </c>
      <c r="B6" s="1" t="s">
        <v>587</v>
      </c>
      <c r="C6" s="1" t="s">
        <v>588</v>
      </c>
      <c r="D6" s="1" t="s">
        <v>589</v>
      </c>
      <c r="E6" s="1" t="s">
        <v>590</v>
      </c>
      <c r="F6" s="1" t="s">
        <v>591</v>
      </c>
      <c r="G6" s="1" t="s">
        <v>592</v>
      </c>
      <c r="H6" s="1" t="s">
        <v>593</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row>
    <row r="8" spans="1:41" x14ac:dyDescent="0.2">
      <c r="A8" s="1" t="s">
        <v>0</v>
      </c>
      <c r="B8" s="1" t="s">
        <v>564</v>
      </c>
      <c r="C8" s="1" t="s">
        <v>571</v>
      </c>
      <c r="D8" s="1" t="s">
        <v>577</v>
      </c>
      <c r="E8" s="1" t="s">
        <v>585</v>
      </c>
      <c r="F8" s="1" t="s">
        <v>586</v>
      </c>
    </row>
    <row r="9" spans="1:41" x14ac:dyDescent="0.2">
      <c r="A9" s="1" t="s">
        <v>558</v>
      </c>
      <c r="B9" s="1" t="s">
        <v>565</v>
      </c>
      <c r="C9" s="1" t="s">
        <v>573</v>
      </c>
      <c r="D9" s="1" t="s">
        <v>579</v>
      </c>
      <c r="E9" s="1" t="s">
        <v>366</v>
      </c>
      <c r="F9" s="1" t="s">
        <v>588</v>
      </c>
    </row>
    <row r="10" spans="1:41" x14ac:dyDescent="0.2">
      <c r="A10" s="1" t="s">
        <v>559</v>
      </c>
      <c r="B10" s="1" t="s">
        <v>566</v>
      </c>
      <c r="C10" s="1" t="s">
        <v>574</v>
      </c>
      <c r="D10" s="1" t="s">
        <v>580</v>
      </c>
      <c r="E10" s="1" t="s">
        <v>367</v>
      </c>
      <c r="F10" s="1" t="s">
        <v>589</v>
      </c>
    </row>
    <row r="11" spans="1:41" x14ac:dyDescent="0.2">
      <c r="A11" s="1" t="s">
        <v>560</v>
      </c>
      <c r="B11" s="1" t="s">
        <v>567</v>
      </c>
      <c r="C11" s="1" t="s">
        <v>28</v>
      </c>
      <c r="D11" s="1" t="s">
        <v>581</v>
      </c>
      <c r="E11" s="1" t="s">
        <v>368</v>
      </c>
      <c r="F11" s="1" t="s">
        <v>590</v>
      </c>
    </row>
    <row r="12" spans="1:41" x14ac:dyDescent="0.2">
      <c r="A12" s="1" t="s">
        <v>561</v>
      </c>
      <c r="B12" s="1" t="s">
        <v>568</v>
      </c>
      <c r="C12" s="1" t="s">
        <v>148</v>
      </c>
      <c r="D12" s="1" t="s">
        <v>582</v>
      </c>
      <c r="E12" s="1" t="s">
        <v>369</v>
      </c>
      <c r="F12" s="1" t="s">
        <v>591</v>
      </c>
    </row>
    <row r="13" spans="1:41" x14ac:dyDescent="0.2">
      <c r="A13" s="1" t="s">
        <v>562</v>
      </c>
      <c r="B13" s="1" t="s">
        <v>569</v>
      </c>
      <c r="C13" s="1" t="s">
        <v>575</v>
      </c>
      <c r="D13" s="1" t="s">
        <v>583</v>
      </c>
      <c r="E13" s="1" t="s">
        <v>370</v>
      </c>
      <c r="F13" s="1" t="s">
        <v>592</v>
      </c>
    </row>
    <row r="14" spans="1:41" x14ac:dyDescent="0.2">
      <c r="A14" s="1" t="s">
        <v>563</v>
      </c>
      <c r="B14" s="1" t="s">
        <v>570</v>
      </c>
      <c r="C14" s="1" t="s">
        <v>576</v>
      </c>
      <c r="D14" s="1" t="s">
        <v>584</v>
      </c>
      <c r="E14" s="1" t="s">
        <v>371</v>
      </c>
      <c r="F14" s="1" t="s">
        <v>593</v>
      </c>
    </row>
    <row r="16" spans="1:41" x14ac:dyDescent="0.2">
      <c r="G16" s="2" t="s">
        <v>594</v>
      </c>
    </row>
    <row r="17" spans="7:8" x14ac:dyDescent="0.2">
      <c r="G17" s="2">
        <f>CODE(MID(B9,1,1))</f>
        <v>49</v>
      </c>
      <c r="H17" s="2">
        <f>LEN(B9)</f>
        <v>4</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6648-5FA0-0541-96F0-ECBCB165E44D}">
  <dimension ref="A1:B9"/>
  <sheetViews>
    <sheetView workbookViewId="0">
      <selection activeCell="B4" sqref="B4"/>
    </sheetView>
  </sheetViews>
  <sheetFormatPr baseColWidth="10" defaultRowHeight="16" x14ac:dyDescent="0.2"/>
  <cols>
    <col min="1" max="1" width="21.5" bestFit="1" customWidth="1"/>
    <col min="2" max="2" width="13.6640625" bestFit="1" customWidth="1"/>
  </cols>
  <sheetData>
    <row r="1" spans="1:2" x14ac:dyDescent="0.2">
      <c r="A1" s="34" t="s">
        <v>905</v>
      </c>
      <c r="B1" s="35">
        <v>2023</v>
      </c>
    </row>
    <row r="3" spans="1:2" x14ac:dyDescent="0.2">
      <c r="A3" s="34" t="s">
        <v>894</v>
      </c>
      <c r="B3" t="s">
        <v>923</v>
      </c>
    </row>
    <row r="4" spans="1:2" x14ac:dyDescent="0.2">
      <c r="A4" s="35" t="s">
        <v>932</v>
      </c>
      <c r="B4" s="38">
        <v>4.5069999999999979</v>
      </c>
    </row>
    <row r="5" spans="1:2" x14ac:dyDescent="0.2">
      <c r="A5" s="35" t="s">
        <v>931</v>
      </c>
      <c r="B5" s="38">
        <v>0.43524610969014199</v>
      </c>
    </row>
    <row r="6" spans="1:2" x14ac:dyDescent="0.2">
      <c r="A6" s="35" t="s">
        <v>929</v>
      </c>
      <c r="B6" s="38">
        <v>-0.16142904399603042</v>
      </c>
    </row>
    <row r="7" spans="1:2" x14ac:dyDescent="0.2">
      <c r="A7" s="35" t="s">
        <v>930</v>
      </c>
      <c r="B7" s="38">
        <v>0.31975711189644063</v>
      </c>
    </row>
    <row r="8" spans="1:2" x14ac:dyDescent="0.2">
      <c r="A8" s="35" t="s">
        <v>928</v>
      </c>
      <c r="B8" s="38">
        <v>9.6488974523656554E-2</v>
      </c>
    </row>
    <row r="9" spans="1:2" x14ac:dyDescent="0.2">
      <c r="A9" s="35" t="s">
        <v>895</v>
      </c>
      <c r="B9" s="38">
        <v>5.1970631521142057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F682-8013-6F42-BE29-4ACA795DAA72}">
  <dimension ref="A1:AD8"/>
  <sheetViews>
    <sheetView topLeftCell="U1" workbookViewId="0">
      <selection activeCell="X2" sqref="X2:X7"/>
    </sheetView>
  </sheetViews>
  <sheetFormatPr baseColWidth="10" defaultRowHeight="16" x14ac:dyDescent="0.2"/>
  <cols>
    <col min="1" max="1" width="42.1640625" bestFit="1" customWidth="1"/>
    <col min="2" max="2" width="13.5" bestFit="1" customWidth="1"/>
    <col min="3" max="3" width="22.1640625" bestFit="1" customWidth="1"/>
    <col min="4" max="4" width="17" bestFit="1" customWidth="1"/>
    <col min="5" max="5" width="27.6640625" bestFit="1" customWidth="1"/>
    <col min="6" max="6" width="32.83203125" bestFit="1" customWidth="1"/>
    <col min="7" max="7" width="44.83203125" bestFit="1" customWidth="1"/>
    <col min="8" max="8" width="33.83203125" bestFit="1" customWidth="1"/>
    <col min="9" max="9" width="24.5" bestFit="1" customWidth="1"/>
    <col min="10" max="10" width="35.83203125" bestFit="1" customWidth="1"/>
    <col min="11" max="11" width="21.6640625" bestFit="1" customWidth="1"/>
    <col min="12" max="12" width="22.5" bestFit="1" customWidth="1"/>
    <col min="13" max="13" width="42.6640625" bestFit="1" customWidth="1"/>
    <col min="14" max="14" width="25" bestFit="1" customWidth="1"/>
    <col min="15" max="15" width="26.6640625" bestFit="1" customWidth="1"/>
    <col min="16" max="16" width="59.83203125" bestFit="1" customWidth="1"/>
    <col min="17" max="17" width="16.83203125" bestFit="1" customWidth="1"/>
    <col min="18" max="18" width="39.83203125" bestFit="1" customWidth="1"/>
    <col min="19" max="19" width="11.83203125" bestFit="1" customWidth="1"/>
    <col min="20" max="20" width="32" bestFit="1" customWidth="1"/>
    <col min="21" max="21" width="34.6640625" bestFit="1" customWidth="1"/>
    <col min="22" max="22" width="48.83203125" bestFit="1" customWidth="1"/>
    <col min="23" max="23" width="58.1640625" bestFit="1" customWidth="1"/>
    <col min="24" max="24" width="18.83203125" bestFit="1" customWidth="1"/>
    <col min="25" max="25" width="24.33203125" bestFit="1" customWidth="1"/>
    <col min="26" max="26" width="24.1640625" bestFit="1" customWidth="1"/>
    <col min="27" max="27" width="27.1640625" bestFit="1" customWidth="1"/>
    <col min="29" max="29" width="21.1640625" bestFit="1" customWidth="1"/>
  </cols>
  <sheetData>
    <row r="1" spans="1:30" ht="21" x14ac:dyDescent="0.25">
      <c r="A1" s="4" t="s">
        <v>542</v>
      </c>
      <c r="B1" s="4" t="s">
        <v>254</v>
      </c>
      <c r="C1" s="4" t="s">
        <v>262</v>
      </c>
      <c r="D1" s="4" t="s">
        <v>270</v>
      </c>
      <c r="E1" s="4" t="s">
        <v>278</v>
      </c>
      <c r="F1" s="4" t="s">
        <v>287</v>
      </c>
      <c r="G1" s="4" t="s">
        <v>288</v>
      </c>
      <c r="H1" s="4" t="s">
        <v>289</v>
      </c>
      <c r="I1" s="4" t="s">
        <v>290</v>
      </c>
      <c r="J1" s="4" t="s">
        <v>297</v>
      </c>
      <c r="K1" s="4" t="s">
        <v>306</v>
      </c>
      <c r="L1" s="4" t="s">
        <v>313</v>
      </c>
      <c r="M1" s="4" t="s">
        <v>317</v>
      </c>
      <c r="N1" s="4" t="s">
        <v>323</v>
      </c>
      <c r="O1" s="4" t="s">
        <v>330</v>
      </c>
      <c r="P1" s="4" t="s">
        <v>338</v>
      </c>
      <c r="Q1" s="4" t="s">
        <v>339</v>
      </c>
      <c r="R1" s="4" t="s">
        <v>347</v>
      </c>
      <c r="S1" s="4" t="s">
        <v>356</v>
      </c>
      <c r="T1" s="4" t="s">
        <v>364</v>
      </c>
      <c r="U1" s="4" t="s">
        <v>372</v>
      </c>
      <c r="V1" s="4" t="s">
        <v>379</v>
      </c>
      <c r="W1" s="4" t="s">
        <v>387</v>
      </c>
      <c r="X1" s="4" t="s">
        <v>545</v>
      </c>
      <c r="Y1" s="4" t="s">
        <v>546</v>
      </c>
      <c r="Z1" s="4" t="s">
        <v>547</v>
      </c>
      <c r="AA1" s="4" t="s">
        <v>548</v>
      </c>
      <c r="AB1" s="4" t="s">
        <v>549</v>
      </c>
      <c r="AC1" s="4" t="s">
        <v>550</v>
      </c>
      <c r="AD1" s="4" t="s">
        <v>551</v>
      </c>
    </row>
    <row r="2" spans="1:30" ht="19" x14ac:dyDescent="0.25">
      <c r="A2" s="6">
        <v>2025</v>
      </c>
      <c r="B2" s="5">
        <v>46.308999999999997</v>
      </c>
      <c r="C2" s="5">
        <v>26.518999999999998</v>
      </c>
      <c r="D2" s="5">
        <v>19.79</v>
      </c>
      <c r="E2" s="5">
        <v>16.088000000000001</v>
      </c>
      <c r="F2" s="5">
        <v>0</v>
      </c>
      <c r="G2" s="5">
        <v>16.088000000000001</v>
      </c>
      <c r="H2" s="5">
        <v>0</v>
      </c>
      <c r="I2" s="5">
        <v>3.702</v>
      </c>
      <c r="J2" s="5">
        <v>115</v>
      </c>
      <c r="K2" s="5">
        <v>404</v>
      </c>
      <c r="L2" s="5">
        <v>289</v>
      </c>
      <c r="M2" s="5">
        <v>68</v>
      </c>
      <c r="N2" s="5">
        <v>3.8849999999999998</v>
      </c>
      <c r="O2" s="5">
        <v>666</v>
      </c>
      <c r="P2" s="5">
        <v>0</v>
      </c>
      <c r="Q2" s="5">
        <v>3.2189999999999999</v>
      </c>
      <c r="R2" s="5">
        <v>808</v>
      </c>
      <c r="S2" s="5">
        <v>4.51</v>
      </c>
      <c r="T2" s="5" t="s">
        <v>366</v>
      </c>
      <c r="U2" s="5" t="s">
        <v>373</v>
      </c>
      <c r="V2" s="5">
        <v>1.4850000000000001</v>
      </c>
      <c r="W2" s="5">
        <v>1.488</v>
      </c>
      <c r="X2" s="24">
        <f>Table2[[#This Row],[Gross Profit]]/Table2[[#This Row],[Revenue]]</f>
        <v>0.42734673605562634</v>
      </c>
      <c r="Y2" s="24">
        <f>Table2[[#This Row],[Operating Income]]/Table2[[#This Row],[Revenue]]</f>
        <v>7.9941264117126265E-2</v>
      </c>
      <c r="Z2" s="10">
        <f>Table2[[#This Row],[Net Income]]/Table2[[#This Row],[Revenue]]</f>
        <v>6.9511326092120324E-2</v>
      </c>
      <c r="AA2" s="5">
        <f>(Table1[[#This Row],[Total Assets]]+'BS ANALYSIS'!I3)/2</f>
        <v>37.344499999999996</v>
      </c>
      <c r="AB2" s="10">
        <f>Table2[[#This Row],[Net Income]]/Table2[[#This Row],[Average Total assets]]</f>
        <v>8.6197432018101733E-2</v>
      </c>
      <c r="AC2" s="5">
        <f>(Table1[[#This Row],[Total Equity]]+'BS ANALYSIS'!AE3)/2</f>
        <v>13.8215</v>
      </c>
      <c r="AD2" s="23">
        <f>Table2[[#This Row],[Net Income]]/Table2[[#This Row],[Average equity]]</f>
        <v>0.23289802119885683</v>
      </c>
    </row>
    <row r="3" spans="1:30" ht="19" x14ac:dyDescent="0.25">
      <c r="A3" s="6">
        <v>2024</v>
      </c>
      <c r="B3" s="5">
        <v>51.362000000000002</v>
      </c>
      <c r="C3" s="5">
        <v>28.475000000000001</v>
      </c>
      <c r="D3" s="5">
        <v>22.887</v>
      </c>
      <c r="E3" s="5">
        <v>16.576000000000001</v>
      </c>
      <c r="F3" s="5">
        <v>0</v>
      </c>
      <c r="G3" s="5">
        <v>16.576000000000001</v>
      </c>
      <c r="H3" s="5">
        <v>0</v>
      </c>
      <c r="I3" s="5">
        <v>6.3109999999999999</v>
      </c>
      <c r="J3" s="5">
        <v>169</v>
      </c>
      <c r="K3" s="5">
        <v>430</v>
      </c>
      <c r="L3" s="5">
        <v>261</v>
      </c>
      <c r="M3" s="5">
        <v>220</v>
      </c>
      <c r="N3" s="5">
        <v>6.7</v>
      </c>
      <c r="O3" s="5">
        <v>1</v>
      </c>
      <c r="P3" s="5">
        <v>0</v>
      </c>
      <c r="Q3" s="36">
        <v>5.7</v>
      </c>
      <c r="R3" s="5">
        <v>844</v>
      </c>
      <c r="S3" s="5">
        <v>7.1550000000000002</v>
      </c>
      <c r="T3" s="5" t="s">
        <v>367</v>
      </c>
      <c r="U3" s="5" t="s">
        <v>374</v>
      </c>
      <c r="V3" s="5">
        <v>1.518</v>
      </c>
      <c r="W3" s="5">
        <v>1.53</v>
      </c>
      <c r="X3" s="24">
        <f>Table2[[#This Row],[Gross Profit]]/Table2[[#This Row],[Revenue]]</f>
        <v>0.44560180678322492</v>
      </c>
      <c r="Y3" s="24">
        <f>Table2[[#This Row],[Operating Income]]/Table2[[#This Row],[Revenue]]</f>
        <v>0.12287294108484871</v>
      </c>
      <c r="Z3" s="10">
        <f>Table2[[#This Row],[Net Income]]/Table2[[#This Row],[Revenue]]</f>
        <v>0.11097698687745804</v>
      </c>
      <c r="AA3" s="5">
        <f>(Table1[[#This Row],[Total Assets]]+'BS ANALYSIS'!I4)/2</f>
        <v>37.820499999999996</v>
      </c>
      <c r="AB3" s="10">
        <f>Table2[[#This Row],[Net Income]]/Table2[[#This Row],[Average Total assets]]</f>
        <v>0.15071191549556459</v>
      </c>
      <c r="AC3" s="5">
        <f>(Table1[[#This Row],[Total Equity]]+'BS ANALYSIS'!AE4)/2</f>
        <v>14.216999999999999</v>
      </c>
      <c r="AD3" s="23">
        <f>Table2[[#This Row],[Net Income]]/Table2[[#This Row],[Average equity]]</f>
        <v>0.40092846592108045</v>
      </c>
    </row>
    <row r="4" spans="1:30" ht="19" x14ac:dyDescent="0.25">
      <c r="A4" s="6">
        <v>2023</v>
      </c>
      <c r="B4" s="5">
        <v>51.216999999999999</v>
      </c>
      <c r="C4" s="5">
        <v>28.925000000000001</v>
      </c>
      <c r="D4" s="5">
        <v>22.292000000000002</v>
      </c>
      <c r="E4" s="5">
        <v>16.376999999999999</v>
      </c>
      <c r="F4" s="5">
        <v>0</v>
      </c>
      <c r="G4" s="5">
        <v>16.376999999999999</v>
      </c>
      <c r="H4" s="5">
        <v>0</v>
      </c>
      <c r="I4" s="5">
        <v>5.915</v>
      </c>
      <c r="J4" s="5">
        <v>14</v>
      </c>
      <c r="K4" s="5">
        <v>297</v>
      </c>
      <c r="L4" s="5">
        <v>283</v>
      </c>
      <c r="M4" s="5">
        <v>272</v>
      </c>
      <c r="N4" s="5">
        <v>6.2009999999999996</v>
      </c>
      <c r="O4" s="5">
        <v>1.131</v>
      </c>
      <c r="P4" s="5">
        <v>0</v>
      </c>
      <c r="Q4" s="5">
        <v>5.07</v>
      </c>
      <c r="R4" s="5">
        <v>859</v>
      </c>
      <c r="S4" s="5">
        <v>6.774</v>
      </c>
      <c r="T4" s="5" t="s">
        <v>368</v>
      </c>
      <c r="U4" s="5" t="s">
        <v>375</v>
      </c>
      <c r="V4" s="5">
        <v>1.552</v>
      </c>
      <c r="W4" s="5">
        <v>1.57</v>
      </c>
      <c r="X4" s="24">
        <f>Table2[[#This Row],[Gross Profit]]/Table2[[#This Row],[Revenue]]</f>
        <v>0.43524610969014199</v>
      </c>
      <c r="Y4" s="24">
        <f>Table2[[#This Row],[Operating Income]]/Table2[[#This Row],[Revenue]]</f>
        <v>0.11548899779370131</v>
      </c>
      <c r="Z4" s="10">
        <f>Table2[[#This Row],[Net Income]]/Table2[[#This Row],[Revenue]]</f>
        <v>9.8990569537458273E-2</v>
      </c>
      <c r="AA4" s="5">
        <f>(Table1[[#This Row],[Total Assets]]+'BS ANALYSIS'!I5)/2</f>
        <v>38.926000000000002</v>
      </c>
      <c r="AB4" s="10">
        <f>Table2[[#This Row],[Net Income]]/Table2[[#This Row],[Average Total assets]]</f>
        <v>0.13024713559060783</v>
      </c>
      <c r="AC4" s="5">
        <f>(Table1[[#This Row],[Total Equity]]+'BS ANALYSIS'!AE5)/2</f>
        <v>14.6425</v>
      </c>
      <c r="AD4" s="23">
        <f>Table2[[#This Row],[Net Income]]/Table2[[#This Row],[Average equity]]</f>
        <v>0.34625234761823459</v>
      </c>
    </row>
    <row r="5" spans="1:30" ht="19" x14ac:dyDescent="0.25">
      <c r="A5" s="6">
        <v>2022</v>
      </c>
      <c r="B5" s="5">
        <v>46.71</v>
      </c>
      <c r="C5" s="5">
        <v>25.231000000000002</v>
      </c>
      <c r="D5" s="5">
        <v>21.478999999999999</v>
      </c>
      <c r="E5" s="5">
        <v>14.804</v>
      </c>
      <c r="F5" s="5">
        <v>0</v>
      </c>
      <c r="G5" s="5">
        <v>14.804</v>
      </c>
      <c r="H5" s="5">
        <v>0</v>
      </c>
      <c r="I5" s="5">
        <v>6.6749999999999998</v>
      </c>
      <c r="J5" s="5">
        <v>-198</v>
      </c>
      <c r="K5" s="5">
        <v>94</v>
      </c>
      <c r="L5" s="5">
        <v>292</v>
      </c>
      <c r="M5" s="5">
        <v>174</v>
      </c>
      <c r="N5" s="5">
        <v>6.6509999999999998</v>
      </c>
      <c r="O5" s="5">
        <v>605</v>
      </c>
      <c r="P5" s="5">
        <v>0</v>
      </c>
      <c r="Q5" s="5">
        <v>6.0460000000000003</v>
      </c>
      <c r="R5" s="5">
        <v>840</v>
      </c>
      <c r="S5" s="5">
        <v>7.5149999999999997</v>
      </c>
      <c r="T5" s="5" t="s">
        <v>369</v>
      </c>
      <c r="U5" s="5" t="s">
        <v>376</v>
      </c>
      <c r="V5" s="5">
        <v>1.579</v>
      </c>
      <c r="W5" s="5">
        <v>1.611</v>
      </c>
      <c r="X5" s="24">
        <f>Table2[[#This Row],[Gross Profit]]/Table2[[#This Row],[Revenue]]</f>
        <v>0.45983729394134015</v>
      </c>
      <c r="Y5" s="24">
        <f>Table2[[#This Row],[Operating Income]]/Table2[[#This Row],[Revenue]]</f>
        <v>0.14290301862556198</v>
      </c>
      <c r="Z5" s="10">
        <f>Table2[[#This Row],[Net Income]]/Table2[[#This Row],[Revenue]]</f>
        <v>0.12943695140226932</v>
      </c>
      <c r="AA5" s="5">
        <f>(Table1[[#This Row],[Total Assets]]+'BS ANALYSIS'!I6)/2</f>
        <v>39.030500000000004</v>
      </c>
      <c r="AB5" s="10">
        <f>Table2[[#This Row],[Net Income]]/Table2[[#This Row],[Average Total assets]]</f>
        <v>0.15490449776456872</v>
      </c>
      <c r="AC5" s="5">
        <f>(Table1[[#This Row],[Total Equity]]+'BS ANALYSIS'!AE6)/2</f>
        <v>14.024000000000001</v>
      </c>
      <c r="AD5" s="23">
        <f>Table2[[#This Row],[Net Income]]/Table2[[#This Row],[Average equity]]</f>
        <v>0.43111808328579576</v>
      </c>
    </row>
    <row r="6" spans="1:30" ht="19" x14ac:dyDescent="0.25">
      <c r="A6" s="6">
        <v>2021</v>
      </c>
      <c r="B6" s="5">
        <v>44.537999999999997</v>
      </c>
      <c r="C6" s="5">
        <v>24.576000000000001</v>
      </c>
      <c r="D6" s="5">
        <v>19.962</v>
      </c>
      <c r="E6" s="5">
        <v>13.025</v>
      </c>
      <c r="F6" s="5">
        <v>0</v>
      </c>
      <c r="G6" s="5">
        <v>13.025</v>
      </c>
      <c r="H6" s="5">
        <v>0</v>
      </c>
      <c r="I6" s="5">
        <v>6.9370000000000003</v>
      </c>
      <c r="J6" s="5">
        <v>-255</v>
      </c>
      <c r="K6" s="5">
        <v>34</v>
      </c>
      <c r="L6" s="5">
        <v>289</v>
      </c>
      <c r="M6" s="5">
        <v>-21</v>
      </c>
      <c r="N6" s="5">
        <v>6.6609999999999996</v>
      </c>
      <c r="O6" s="5">
        <v>934</v>
      </c>
      <c r="P6" s="5">
        <v>0</v>
      </c>
      <c r="Q6" s="5">
        <v>5.7270000000000003</v>
      </c>
      <c r="R6" s="5">
        <v>797</v>
      </c>
      <c r="S6" s="5">
        <v>7.734</v>
      </c>
      <c r="T6" s="5" t="s">
        <v>370</v>
      </c>
      <c r="U6" s="5" t="s">
        <v>377</v>
      </c>
      <c r="V6" s="5">
        <v>1.573</v>
      </c>
      <c r="W6" s="5">
        <v>1.609</v>
      </c>
      <c r="X6" s="24">
        <f>Table2[[#This Row],[Gross Profit]]/Table2[[#This Row],[Revenue]]</f>
        <v>0.44820153576721006</v>
      </c>
      <c r="Y6" s="24">
        <f>Table2[[#This Row],[Operating Income]]/Table2[[#This Row],[Revenue]]</f>
        <v>0.15575463649018817</v>
      </c>
      <c r="Z6" s="10">
        <f>Table2[[#This Row],[Net Income]]/Table2[[#This Row],[Revenue]]</f>
        <v>0.1285868247339351</v>
      </c>
      <c r="AA6" s="5">
        <f>(Table1[[#This Row],[Total Assets]]+'BS ANALYSIS'!I7)/2</f>
        <v>34.540999999999997</v>
      </c>
      <c r="AB6" s="10">
        <f>Table2[[#This Row],[Net Income]]/Table2[[#This Row],[Average Total assets]]</f>
        <v>0.16580295880258247</v>
      </c>
      <c r="AC6" s="5">
        <f>(Table1[[#This Row],[Total Equity]]+'BS ANALYSIS'!AE7)/2</f>
        <v>10.411</v>
      </c>
      <c r="AD6" s="23">
        <f>Table2[[#This Row],[Net Income]]/Table2[[#This Row],[Average equity]]</f>
        <v>0.55009124963980416</v>
      </c>
    </row>
    <row r="7" spans="1:30" ht="19" x14ac:dyDescent="0.25">
      <c r="A7" s="6">
        <v>2020</v>
      </c>
      <c r="B7" s="12">
        <v>37.402999999999999</v>
      </c>
      <c r="C7" s="12">
        <v>21.161999999999999</v>
      </c>
      <c r="D7" s="12">
        <v>16.241</v>
      </c>
      <c r="E7" s="12">
        <v>13.125999999999999</v>
      </c>
      <c r="F7" s="12">
        <v>0</v>
      </c>
      <c r="G7" s="12">
        <v>13.125999999999999</v>
      </c>
      <c r="H7" s="12">
        <v>0</v>
      </c>
      <c r="I7" s="12">
        <v>3.1150000000000002</v>
      </c>
      <c r="J7" s="12">
        <v>-82</v>
      </c>
      <c r="K7" s="12">
        <v>62</v>
      </c>
      <c r="L7" s="12">
        <v>144</v>
      </c>
      <c r="M7" s="12">
        <v>-146</v>
      </c>
      <c r="N7" s="12">
        <v>2.887</v>
      </c>
      <c r="O7" s="12">
        <v>348</v>
      </c>
      <c r="P7" s="12">
        <v>0</v>
      </c>
      <c r="Q7" s="12">
        <v>2.5390000000000001</v>
      </c>
      <c r="R7" s="12">
        <v>1.119</v>
      </c>
      <c r="S7" s="12">
        <v>4.234</v>
      </c>
      <c r="T7" s="12" t="s">
        <v>371</v>
      </c>
      <c r="U7" s="12" t="s">
        <v>378</v>
      </c>
      <c r="V7" s="12">
        <v>1.5589999999999999</v>
      </c>
      <c r="W7" s="12">
        <v>1.5920000000000001</v>
      </c>
      <c r="X7" s="26">
        <f>Table2[[#This Row],[Gross Profit]]/Table2[[#This Row],[Revenue]]</f>
        <v>0.43421650669732376</v>
      </c>
      <c r="Y7" s="26">
        <f>Table2[[#This Row],[Operating Income]]/Table2[[#This Row],[Revenue]]</f>
        <v>8.3282089671951456E-2</v>
      </c>
      <c r="Z7" s="15">
        <f>Table2[[#This Row],[Net Income]]/Table2[[#This Row],[Revenue]]</f>
        <v>6.7882255434056099E-2</v>
      </c>
      <c r="AA7" s="5">
        <f>(Table1[[#This Row],[Total Assets]]+'BS ANALYSIS'!I8)/2</f>
        <v>15.670999999999999</v>
      </c>
      <c r="AB7" s="15">
        <f>Table2[[#This Row],[Net Income]]/Table2[[#This Row],[Average Total assets]]</f>
        <v>0.16201901601684643</v>
      </c>
      <c r="AC7" s="5">
        <f>(Table1[[#This Row],[Total Equity]]+'BS ANALYSIS'!AE8)/2</f>
        <v>4.0274999999999999</v>
      </c>
      <c r="AD7" s="25">
        <f>Table2[[#This Row],[Net Income]]/Table2[[#This Row],[Average equity]]</f>
        <v>0.63041589075108639</v>
      </c>
    </row>
    <row r="8" spans="1:30" ht="19" x14ac:dyDescent="0.25">
      <c r="A8" s="8"/>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CDE54-484A-7747-9E83-2913C8A326D0}">
  <dimension ref="A1:P7"/>
  <sheetViews>
    <sheetView workbookViewId="0">
      <selection activeCell="P4" sqref="P4"/>
    </sheetView>
  </sheetViews>
  <sheetFormatPr baseColWidth="10" defaultRowHeight="16" x14ac:dyDescent="0.2"/>
  <cols>
    <col min="1" max="1" width="38.6640625" bestFit="1" customWidth="1"/>
    <col min="2" max="2" width="13" bestFit="1" customWidth="1"/>
    <col min="4" max="4" width="10.1640625" bestFit="1" customWidth="1"/>
    <col min="5" max="5" width="17.83203125" bestFit="1" customWidth="1"/>
    <col min="6" max="7" width="13.5" bestFit="1" customWidth="1"/>
    <col min="8" max="8" width="16.33203125" bestFit="1" customWidth="1"/>
    <col min="9" max="9" width="12.1640625" bestFit="1" customWidth="1"/>
    <col min="10" max="10" width="11.5" bestFit="1" customWidth="1"/>
    <col min="11" max="11" width="23.1640625" bestFit="1" customWidth="1"/>
    <col min="12" max="12" width="12.1640625" bestFit="1" customWidth="1"/>
    <col min="13" max="13" width="11.5" bestFit="1" customWidth="1"/>
    <col min="14" max="14" width="16.1640625" bestFit="1" customWidth="1"/>
    <col min="16" max="16" width="11.83203125" bestFit="1" customWidth="1"/>
  </cols>
  <sheetData>
    <row r="1" spans="1:16" ht="22" x14ac:dyDescent="0.3">
      <c r="A1" s="21" t="s">
        <v>542</v>
      </c>
      <c r="B1" s="21" t="s">
        <v>254</v>
      </c>
      <c r="C1" s="21" t="s">
        <v>597</v>
      </c>
      <c r="D1" s="21" t="s">
        <v>598</v>
      </c>
      <c r="E1" s="21" t="s">
        <v>603</v>
      </c>
      <c r="F1" s="21" t="s">
        <v>604</v>
      </c>
      <c r="G1" s="21" t="s">
        <v>605</v>
      </c>
      <c r="H1" s="21" t="s">
        <v>270</v>
      </c>
      <c r="I1" s="21" t="s">
        <v>599</v>
      </c>
      <c r="J1" s="21" t="s">
        <v>600</v>
      </c>
      <c r="K1" s="21" t="s">
        <v>290</v>
      </c>
      <c r="L1" s="21" t="s">
        <v>601</v>
      </c>
      <c r="M1" s="21" t="s">
        <v>602</v>
      </c>
      <c r="N1" s="21" t="s">
        <v>339</v>
      </c>
      <c r="O1" s="21" t="s">
        <v>606</v>
      </c>
      <c r="P1" s="21" t="s">
        <v>607</v>
      </c>
    </row>
    <row r="2" spans="1:16" ht="19" x14ac:dyDescent="0.25">
      <c r="A2" s="17">
        <f>Table2[[#This Row],[Reporting Period Ending 31 May:]]</f>
        <v>2025</v>
      </c>
      <c r="B2" s="16">
        <f>Table2[[#This Row],[Revenue]]</f>
        <v>46.308999999999997</v>
      </c>
      <c r="C2" s="16">
        <f>(Table2[[#This Row],[Revenue]]-'IS ANALYSIS'!B3)</f>
        <v>-5.0530000000000044</v>
      </c>
      <c r="D2" s="18">
        <f>(Table2[[#This Row],[Revenue]]-'IS ANALYSIS'!B3)/'IS ANALYSIS'!B3</f>
        <v>-9.8380125384525605E-2</v>
      </c>
      <c r="E2" s="22">
        <f>Table2[[#This Row],[Cost of Revenue]]</f>
        <v>26.518999999999998</v>
      </c>
      <c r="F2" s="22">
        <f>Table2[[#This Row],[Cost of Revenue]]-'IS ANALYSIS'!C3</f>
        <v>-1.9560000000000031</v>
      </c>
      <c r="G2" s="18">
        <f>(Table2[[#This Row],[Cost of Revenue]]-'IS ANALYSIS'!C3)/'IS ANALYSIS'!C3</f>
        <v>-6.8691834942932503E-2</v>
      </c>
      <c r="H2" s="16">
        <f>Table2[[#This Row],[Gross Profit]]</f>
        <v>19.79</v>
      </c>
      <c r="I2" s="16">
        <f>Table2[[#This Row],[Gross Profit]]-'IS ANALYSIS'!D3</f>
        <v>-3.0970000000000013</v>
      </c>
      <c r="J2" s="19">
        <f>(Table2[[#This Row],[Gross Profit]]-'IS ANALYSIS'!D3)/'IS ANALYSIS'!D3</f>
        <v>-0.13531699217896628</v>
      </c>
      <c r="K2" s="16">
        <f>Table2[[#This Row],[Operating Income]]</f>
        <v>3.702</v>
      </c>
      <c r="L2" s="16">
        <f>Table2[[#This Row],[Operating Income]]-'IS ANALYSIS'!I3</f>
        <v>-2.609</v>
      </c>
      <c r="M2" s="20">
        <f>(Table2[[#This Row],[Operating Income]]-'IS ANALYSIS'!I3)/'IS ANALYSIS'!I3</f>
        <v>-0.41340516558390111</v>
      </c>
      <c r="N2" s="16">
        <f>Table2[[#This Row],[Net Income]]</f>
        <v>3.2189999999999999</v>
      </c>
      <c r="O2" s="16">
        <f>Table2[[#This Row],[Net Income]]-'IS ANALYSIS'!Q3</f>
        <v>-2.4810000000000003</v>
      </c>
      <c r="P2" s="19">
        <f>(Table2[[#This Row],[Net Income]]-'IS ANALYSIS'!Q3)/'IS ANALYSIS'!Q3</f>
        <v>-0.43526315789473691</v>
      </c>
    </row>
    <row r="3" spans="1:16" ht="19" x14ac:dyDescent="0.25">
      <c r="A3" s="17">
        <f>Table2[[#This Row],[Reporting Period Ending 31 May:]]</f>
        <v>2024</v>
      </c>
      <c r="B3" s="16">
        <f>Table2[[#This Row],[Revenue]]</f>
        <v>51.362000000000002</v>
      </c>
      <c r="C3" s="16">
        <f>(Table2[[#This Row],[Revenue]]-'IS ANALYSIS'!B4)</f>
        <v>0.14500000000000313</v>
      </c>
      <c r="D3" s="18">
        <f>(Table2[[#This Row],[Revenue]]-'IS ANALYSIS'!B4)/'IS ANALYSIS'!B4</f>
        <v>2.8310912392370334E-3</v>
      </c>
      <c r="E3" s="22">
        <f>Table2[[#This Row],[Cost of Revenue]]</f>
        <v>28.475000000000001</v>
      </c>
      <c r="F3" s="22">
        <f>Table2[[#This Row],[Cost of Revenue]]-'IS ANALYSIS'!C4</f>
        <v>-0.44999999999999929</v>
      </c>
      <c r="G3" s="18">
        <f>(Table2[[#This Row],[Cost of Revenue]]-'IS ANALYSIS'!C4)/'IS ANALYSIS'!C4</f>
        <v>-1.555747623163351E-2</v>
      </c>
      <c r="H3" s="16">
        <f>Table2[[#This Row],[Gross Profit]]</f>
        <v>22.887</v>
      </c>
      <c r="I3" s="16">
        <f>Table2[[#This Row],[Gross Profit]]-'IS ANALYSIS'!D4</f>
        <v>0.59499999999999886</v>
      </c>
      <c r="J3" s="19">
        <f>(Table2[[#This Row],[Gross Profit]]-'IS ANALYSIS'!D4)/'IS ANALYSIS'!D4</f>
        <v>2.6691189664453562E-2</v>
      </c>
      <c r="K3" s="16">
        <f>Table2[[#This Row],[Operating Income]]</f>
        <v>6.3109999999999999</v>
      </c>
      <c r="L3" s="16">
        <f>Table2[[#This Row],[Operating Income]]-'IS ANALYSIS'!I4</f>
        <v>0.39599999999999991</v>
      </c>
      <c r="M3" s="20">
        <f>(Table2[[#This Row],[Operating Income]]-'IS ANALYSIS'!I4)/'IS ANALYSIS'!I4</f>
        <v>6.6948436179205401E-2</v>
      </c>
      <c r="N3" s="16">
        <f>Table2[[#This Row],[Net Income]]</f>
        <v>5.7</v>
      </c>
      <c r="O3" s="16">
        <f>Table2[[#This Row],[Net Income]]-'IS ANALYSIS'!Q4</f>
        <v>0.62999999999999989</v>
      </c>
      <c r="P3" s="19">
        <f>(Table2[[#This Row],[Net Income]]-'IS ANALYSIS'!Q4)/'IS ANALYSIS'!Q4</f>
        <v>0.12426035502958577</v>
      </c>
    </row>
    <row r="4" spans="1:16" ht="19" x14ac:dyDescent="0.25">
      <c r="A4" s="17">
        <f>Table2[[#This Row],[Reporting Period Ending 31 May:]]</f>
        <v>2023</v>
      </c>
      <c r="B4" s="16">
        <f>Table2[[#This Row],[Revenue]]</f>
        <v>51.216999999999999</v>
      </c>
      <c r="C4" s="16">
        <f>(Table2[[#This Row],[Revenue]]-'IS ANALYSIS'!B5)</f>
        <v>4.5069999999999979</v>
      </c>
      <c r="D4" s="18">
        <f>(Table2[[#This Row],[Revenue]]-'IS ANALYSIS'!B5)/'IS ANALYSIS'!B5</f>
        <v>9.6488974523656554E-2</v>
      </c>
      <c r="E4" s="22">
        <f>Table2[[#This Row],[Cost of Revenue]]</f>
        <v>28.925000000000001</v>
      </c>
      <c r="F4" s="22">
        <f>Table2[[#This Row],[Cost of Revenue]]-'IS ANALYSIS'!C5</f>
        <v>3.6939999999999991</v>
      </c>
      <c r="G4" s="18">
        <f>(Table2[[#This Row],[Cost of Revenue]]-'IS ANALYSIS'!C5)/'IS ANALYSIS'!C5</f>
        <v>0.1464071974951448</v>
      </c>
      <c r="H4" s="16">
        <f>Table2[[#This Row],[Gross Profit]]</f>
        <v>22.292000000000002</v>
      </c>
      <c r="I4" s="16">
        <f>Table2[[#This Row],[Gross Profit]]-'IS ANALYSIS'!D5</f>
        <v>0.81300000000000239</v>
      </c>
      <c r="J4" s="19">
        <f>(Table2[[#This Row],[Gross Profit]]-'IS ANALYSIS'!D5)/'IS ANALYSIS'!D5</f>
        <v>3.7850924158480487E-2</v>
      </c>
      <c r="K4" s="16">
        <f>Table2[[#This Row],[Operating Income]]</f>
        <v>5.915</v>
      </c>
      <c r="L4" s="16">
        <f>Table2[[#This Row],[Operating Income]]-'IS ANALYSIS'!I5</f>
        <v>-0.75999999999999979</v>
      </c>
      <c r="M4" s="20">
        <f>(Table2[[#This Row],[Operating Income]]-'IS ANALYSIS'!I5)/'IS ANALYSIS'!I5</f>
        <v>-0.11385767790262169</v>
      </c>
      <c r="N4" s="16">
        <f>Table2[[#This Row],[Net Income]]</f>
        <v>5.07</v>
      </c>
      <c r="O4" s="16">
        <f>Table2[[#This Row],[Net Income]]-'IS ANALYSIS'!Q5</f>
        <v>-0.97599999999999998</v>
      </c>
      <c r="P4" s="19">
        <f>(Table2[[#This Row],[Net Income]]-'IS ANALYSIS'!Q5)/'IS ANALYSIS'!Q5</f>
        <v>-0.16142904399603042</v>
      </c>
    </row>
    <row r="5" spans="1:16" ht="19" x14ac:dyDescent="0.25">
      <c r="A5" s="17">
        <f>Table2[[#This Row],[Reporting Period Ending 31 May:]]</f>
        <v>2022</v>
      </c>
      <c r="B5" s="16">
        <f>Table2[[#This Row],[Revenue]]</f>
        <v>46.71</v>
      </c>
      <c r="C5" s="16">
        <f>(Table2[[#This Row],[Revenue]]-'IS ANALYSIS'!B6)</f>
        <v>2.1720000000000041</v>
      </c>
      <c r="D5" s="18">
        <f>(Table2[[#This Row],[Revenue]]-'IS ANALYSIS'!B6)/'IS ANALYSIS'!B6</f>
        <v>4.8767344739323822E-2</v>
      </c>
      <c r="E5" s="22">
        <f>Table2[[#This Row],[Cost of Revenue]]</f>
        <v>25.231000000000002</v>
      </c>
      <c r="F5" s="22">
        <f>Table2[[#This Row],[Cost of Revenue]]-'IS ANALYSIS'!C6</f>
        <v>0.65500000000000114</v>
      </c>
      <c r="G5" s="18">
        <f>(Table2[[#This Row],[Cost of Revenue]]-'IS ANALYSIS'!C6)/'IS ANALYSIS'!C6</f>
        <v>2.6652018229166713E-2</v>
      </c>
      <c r="H5" s="16">
        <f>Table2[[#This Row],[Gross Profit]]</f>
        <v>21.478999999999999</v>
      </c>
      <c r="I5" s="16">
        <f>Table2[[#This Row],[Gross Profit]]-'IS ANALYSIS'!D6</f>
        <v>1.5169999999999995</v>
      </c>
      <c r="J5" s="19">
        <f>(Table2[[#This Row],[Gross Profit]]-'IS ANALYSIS'!D6)/'IS ANALYSIS'!D6</f>
        <v>7.5994389339745491E-2</v>
      </c>
      <c r="K5" s="16">
        <f>Table2[[#This Row],[Operating Income]]</f>
        <v>6.6749999999999998</v>
      </c>
      <c r="L5" s="16">
        <f>Table2[[#This Row],[Operating Income]]-'IS ANALYSIS'!I6</f>
        <v>-0.26200000000000045</v>
      </c>
      <c r="M5" s="20">
        <f>(Table2[[#This Row],[Operating Income]]-'IS ANALYSIS'!I6)/'IS ANALYSIS'!I6</f>
        <v>-3.7768487818941973E-2</v>
      </c>
      <c r="N5" s="16">
        <f>Table2[[#This Row],[Net Income]]</f>
        <v>6.0460000000000003</v>
      </c>
      <c r="O5" s="16">
        <f>Table2[[#This Row],[Net Income]]-'IS ANALYSIS'!Q6</f>
        <v>0.31899999999999995</v>
      </c>
      <c r="P5" s="19">
        <f>(Table2[[#This Row],[Net Income]]-'IS ANALYSIS'!Q6)/'IS ANALYSIS'!Q6</f>
        <v>5.5701065130085547E-2</v>
      </c>
    </row>
    <row r="6" spans="1:16" ht="19" x14ac:dyDescent="0.25">
      <c r="A6" s="17">
        <f>Table2[[#This Row],[Reporting Period Ending 31 May:]]</f>
        <v>2021</v>
      </c>
      <c r="B6" s="16">
        <f>Table2[[#This Row],[Revenue]]</f>
        <v>44.537999999999997</v>
      </c>
      <c r="C6" s="16">
        <f>(Table2[[#This Row],[Revenue]]-'IS ANALYSIS'!B7)</f>
        <v>7.134999999999998</v>
      </c>
      <c r="D6" s="18">
        <f>(Table2[[#This Row],[Revenue]]-'IS ANALYSIS'!B7)/'IS ANALYSIS'!B7</f>
        <v>0.19076009945726274</v>
      </c>
      <c r="E6" s="22">
        <f>Table2[[#This Row],[Cost of Revenue]]</f>
        <v>24.576000000000001</v>
      </c>
      <c r="F6" s="22">
        <f>Table2[[#This Row],[Cost of Revenue]]-'IS ANALYSIS'!C7</f>
        <v>3.4140000000000015</v>
      </c>
      <c r="G6" s="18">
        <f>(Table2[[#This Row],[Cost of Revenue]]-'IS ANALYSIS'!C7)/'IS ANALYSIS'!C7</f>
        <v>0.16132690671959179</v>
      </c>
      <c r="H6" s="16">
        <f>Table2[[#This Row],[Gross Profit]]</f>
        <v>19.962</v>
      </c>
      <c r="I6" s="16">
        <f>Table2[[#This Row],[Gross Profit]]-'IS ANALYSIS'!D7</f>
        <v>3.7210000000000001</v>
      </c>
      <c r="J6" s="19">
        <f>(Table2[[#This Row],[Gross Profit]]-'IS ANALYSIS'!D7)/'IS ANALYSIS'!D7</f>
        <v>0.22911150791207438</v>
      </c>
      <c r="K6" s="16">
        <f>Table2[[#This Row],[Operating Income]]</f>
        <v>6.9370000000000003</v>
      </c>
      <c r="L6" s="16">
        <f>Table2[[#This Row],[Operating Income]]-'IS ANALYSIS'!I7</f>
        <v>3.8220000000000001</v>
      </c>
      <c r="M6" s="20">
        <f>(Table2[[#This Row],[Operating Income]]-'IS ANALYSIS'!I7)/'IS ANALYSIS'!I7</f>
        <v>1.2269662921348314</v>
      </c>
      <c r="N6" s="16">
        <f>Table2[[#This Row],[Net Income]]</f>
        <v>5.7270000000000003</v>
      </c>
      <c r="O6" s="16">
        <f>Table2[[#This Row],[Net Income]]-'IS ANALYSIS'!Q7</f>
        <v>3.1880000000000002</v>
      </c>
      <c r="P6" s="19">
        <f>(Table2[[#This Row],[Net Income]]-'IS ANALYSIS'!Q7)/'IS ANALYSIS'!Q7</f>
        <v>1.2556124458448208</v>
      </c>
    </row>
    <row r="7" spans="1:16" ht="19" x14ac:dyDescent="0.25">
      <c r="A7" s="17">
        <f>Table2[[#This Row],[Reporting Period Ending 31 May:]]</f>
        <v>2020</v>
      </c>
      <c r="B7" s="16">
        <f>Table2[[#This Row],[Revenue]]</f>
        <v>37.402999999999999</v>
      </c>
      <c r="C7" s="16">
        <f>(Table2[[#This Row],[Revenue]]-'IS ANALYSIS'!B8)</f>
        <v>37.402999999999999</v>
      </c>
      <c r="D7" s="18" t="e">
        <f>(Table2[[#This Row],[Revenue]]-'IS ANALYSIS'!B8)/'IS ANALYSIS'!B8</f>
        <v>#DIV/0!</v>
      </c>
      <c r="E7" s="22">
        <f>Table2[[#This Row],[Cost of Revenue]]</f>
        <v>21.161999999999999</v>
      </c>
      <c r="F7" s="22">
        <f>Table2[[#This Row],[Cost of Revenue]]-'IS ANALYSIS'!C8</f>
        <v>21.161999999999999</v>
      </c>
      <c r="G7" s="18" t="e">
        <f>(Table2[[#This Row],[Cost of Revenue]]-'IS ANALYSIS'!C8)/'IS ANALYSIS'!C8</f>
        <v>#DIV/0!</v>
      </c>
      <c r="H7" s="16">
        <f>Table2[[#This Row],[Gross Profit]]</f>
        <v>16.241</v>
      </c>
      <c r="I7" s="16">
        <f>Table2[[#This Row],[Gross Profit]]-'IS ANALYSIS'!D8</f>
        <v>16.241</v>
      </c>
      <c r="J7" s="19" t="e">
        <f>(Table2[[#This Row],[Gross Profit]]-'IS ANALYSIS'!D8)/'IS ANALYSIS'!D8</f>
        <v>#DIV/0!</v>
      </c>
      <c r="K7" s="16">
        <f>Table2[[#This Row],[Operating Income]]</f>
        <v>3.1150000000000002</v>
      </c>
      <c r="L7" s="16">
        <f>Table2[[#This Row],[Operating Income]]-'IS ANALYSIS'!I8</f>
        <v>3.1150000000000002</v>
      </c>
      <c r="M7" s="20" t="e">
        <f>(Table2[[#This Row],[Operating Income]]-'IS ANALYSIS'!I8)/'IS ANALYSIS'!I8</f>
        <v>#DIV/0!</v>
      </c>
      <c r="N7" s="16">
        <f>Table2[[#This Row],[Net Income]]</f>
        <v>2.5390000000000001</v>
      </c>
      <c r="O7" s="16">
        <f>Table2[[#This Row],[Net Income]]-'IS ANALYSIS'!Q8</f>
        <v>2.5390000000000001</v>
      </c>
      <c r="P7" s="18" t="e">
        <f>(Table2[[#This Row],[Net Income]]-'IS ANALYSIS'!Q8)/'IS ANALYSIS'!Q8</f>
        <v>#DIV/0!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7BE6B-734A-674A-9229-83D3AF472DED}">
  <dimension ref="A1:F6"/>
  <sheetViews>
    <sheetView workbookViewId="0">
      <selection activeCell="F1" sqref="F1"/>
    </sheetView>
  </sheetViews>
  <sheetFormatPr baseColWidth="10" defaultRowHeight="16" x14ac:dyDescent="0.2"/>
  <cols>
    <col min="1" max="1" width="17" customWidth="1"/>
    <col min="2" max="2" width="27.5" bestFit="1" customWidth="1"/>
    <col min="3" max="3" width="27.1640625" bestFit="1" customWidth="1"/>
    <col min="4" max="4" width="19.33203125" bestFit="1" customWidth="1"/>
    <col min="5" max="5" width="18.33203125" bestFit="1" customWidth="1"/>
    <col min="6" max="6" width="34.6640625" bestFit="1" customWidth="1"/>
  </cols>
  <sheetData>
    <row r="1" spans="1:6" x14ac:dyDescent="0.2">
      <c r="A1" t="s">
        <v>902</v>
      </c>
      <c r="B1" t="s">
        <v>919</v>
      </c>
      <c r="C1" t="s">
        <v>918</v>
      </c>
      <c r="D1" t="s">
        <v>916</v>
      </c>
      <c r="E1" t="s">
        <v>917</v>
      </c>
      <c r="F1" t="s">
        <v>920</v>
      </c>
    </row>
    <row r="2" spans="1:6" x14ac:dyDescent="0.2">
      <c r="A2">
        <v>2025</v>
      </c>
      <c r="B2" s="31">
        <f>'VARIANCE ANALYSIS'!N3</f>
        <v>5.7</v>
      </c>
      <c r="C2">
        <f>Table5[[#This Row],[YoY ▲]]</f>
        <v>-5.0530000000000044</v>
      </c>
      <c r="D2" s="31">
        <f>Table5[[#This Row],[YoY ▲3]]</f>
        <v>-1.9560000000000031</v>
      </c>
      <c r="E2" s="31">
        <f>Table2[[#This Row],[ Operating Expenses ]]-'IS ANALYSIS'!E3</f>
        <v>-0.48799999999999955</v>
      </c>
      <c r="F2">
        <f>Table5[[#This Row],[Net Income]]</f>
        <v>3.2189999999999999</v>
      </c>
    </row>
    <row r="3" spans="1:6" x14ac:dyDescent="0.2">
      <c r="A3">
        <v>2024</v>
      </c>
      <c r="B3" s="31">
        <f>'VARIANCE ANALYSIS'!N4</f>
        <v>5.07</v>
      </c>
      <c r="C3">
        <f>Table5[[#This Row],[YoY ▲]]</f>
        <v>0.14500000000000313</v>
      </c>
      <c r="D3" s="31">
        <f>Table5[[#This Row],[YoY ▲3]]</f>
        <v>-0.44999999999999929</v>
      </c>
      <c r="E3" s="31">
        <f>Table2[[#This Row],[ Operating Expenses ]]-'IS ANALYSIS'!E4</f>
        <v>0.19900000000000162</v>
      </c>
      <c r="F3">
        <f>Table5[[#This Row],[Net Income]]</f>
        <v>5.7</v>
      </c>
    </row>
    <row r="4" spans="1:6" x14ac:dyDescent="0.2">
      <c r="A4">
        <v>2023</v>
      </c>
      <c r="B4">
        <f>'VARIANCE ANALYSIS'!N5</f>
        <v>6.0460000000000003</v>
      </c>
      <c r="C4">
        <f>Table5[[#This Row],[YoY ▲]]</f>
        <v>4.5069999999999979</v>
      </c>
      <c r="D4" s="31">
        <f>Table5[[#This Row],[YoY ▲3]]</f>
        <v>3.6939999999999991</v>
      </c>
      <c r="E4" s="31">
        <f>Table2[[#This Row],[ Operating Expenses ]]-'IS ANALYSIS'!E5</f>
        <v>1.5729999999999986</v>
      </c>
      <c r="F4">
        <f>Table5[[#This Row],[Net Income]]</f>
        <v>5.07</v>
      </c>
    </row>
    <row r="5" spans="1:6" x14ac:dyDescent="0.2">
      <c r="A5">
        <v>2022</v>
      </c>
      <c r="B5">
        <f>'VARIANCE ANALYSIS'!N6</f>
        <v>5.7270000000000003</v>
      </c>
      <c r="C5">
        <f>Table5[[#This Row],[YoY ▲]]</f>
        <v>2.1720000000000041</v>
      </c>
      <c r="D5" s="31">
        <f>Table5[[#This Row],[YoY ▲3]]</f>
        <v>0.65500000000000114</v>
      </c>
      <c r="E5" s="31">
        <f>Table2[[#This Row],[ Operating Expenses ]]-'IS ANALYSIS'!E6</f>
        <v>1.7789999999999999</v>
      </c>
      <c r="F5">
        <f>Table5[[#This Row],[Net Income]]</f>
        <v>6.0460000000000003</v>
      </c>
    </row>
    <row r="6" spans="1:6" x14ac:dyDescent="0.2">
      <c r="A6">
        <v>2021</v>
      </c>
      <c r="B6">
        <f>'VARIANCE ANALYSIS'!N7</f>
        <v>2.5390000000000001</v>
      </c>
      <c r="C6">
        <f>Table5[[#This Row],[YoY ▲]]</f>
        <v>7.134999999999998</v>
      </c>
      <c r="D6" s="31">
        <f>Table5[[#This Row],[YoY ▲3]]</f>
        <v>3.4140000000000015</v>
      </c>
      <c r="E6" s="31">
        <f>Table2[[#This Row],[ Operating Expenses ]]-'IS ANALYSIS'!E7</f>
        <v>-0.10099999999999909</v>
      </c>
      <c r="F6">
        <f>Table5[[#This Row],[Net Income]]</f>
        <v>5.7270000000000003</v>
      </c>
    </row>
  </sheetData>
  <conditionalFormatting sqref="C2:C6">
    <cfRule type="cellIs" dxfId="13" priority="10" operator="lessThan">
      <formula>0</formula>
    </cfRule>
    <cfRule type="cellIs" dxfId="12" priority="11" operator="greaterThan">
      <formula>0</formula>
    </cfRule>
  </conditionalFormatting>
  <conditionalFormatting sqref="D2:D6">
    <cfRule type="cellIs" dxfId="9" priority="5" operator="greaterThan">
      <formula>0</formula>
    </cfRule>
    <cfRule type="cellIs" dxfId="8" priority="6" operator="lessThan">
      <formula>0</formula>
    </cfRule>
  </conditionalFormatting>
  <conditionalFormatting sqref="E2:E6">
    <cfRule type="cellIs" dxfId="7" priority="3" operator="greaterThan">
      <formula>0</formula>
    </cfRule>
    <cfRule type="cellIs" dxfId="6" priority="4" operator="lessThan">
      <formula>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9" id="{D29AC53F-FC0A-6740-BD22-B2284608ABF5}">
            <x14:iconSet custom="1">
              <x14:cfvo type="percent">
                <xm:f>0</xm:f>
              </x14:cfvo>
              <x14:cfvo type="num" gte="0">
                <xm:f>0</xm:f>
              </x14:cfvo>
              <x14:cfvo type="num">
                <xm:f>0</xm:f>
              </x14:cfvo>
              <x14:cfIcon iconSet="3Triangles" iconId="0"/>
              <x14:cfIcon iconSet="3TrafficLights1" iconId="1"/>
              <x14:cfIcon iconSet="3Triangles" iconId="2"/>
            </x14:iconSet>
          </x14:cfRule>
          <xm:sqref>C2:C6</xm:sqref>
        </x14:conditionalFormatting>
        <x14:conditionalFormatting xmlns:xm="http://schemas.microsoft.com/office/excel/2006/main">
          <x14:cfRule type="iconSet" priority="2" id="{AD36F3A3-C0D2-E24A-A55B-3F07EDD9A490}">
            <x14:iconSet custom="1">
              <x14:cfvo type="percent">
                <xm:f>0</xm:f>
              </x14:cfvo>
              <x14:cfvo type="num">
                <xm:f>0</xm:f>
              </x14:cfvo>
              <x14:cfvo type="num">
                <xm:f>0</xm:f>
              </x14:cfvo>
              <x14:cfIcon iconSet="3Triangles" iconId="2"/>
              <x14:cfIcon iconSet="3TrafficLights1" iconId="1"/>
              <x14:cfIcon iconSet="3Triangles" iconId="0"/>
            </x14:iconSet>
          </x14:cfRule>
          <xm:sqref>D2:D6</xm:sqref>
        </x14:conditionalFormatting>
        <x14:conditionalFormatting xmlns:xm="http://schemas.microsoft.com/office/excel/2006/main">
          <x14:cfRule type="iconSet" priority="1" id="{2CFFE170-1CD9-5946-B0BB-5E03AEE5B286}">
            <x14:iconSet custom="1">
              <x14:cfvo type="percent">
                <xm:f>0</xm:f>
              </x14:cfvo>
              <x14:cfvo type="num">
                <xm:f>0</xm:f>
              </x14:cfvo>
              <x14:cfvo type="num">
                <xm:f>0</xm:f>
              </x14:cfvo>
              <x14:cfIcon iconSet="3Triangles" iconId="2"/>
              <x14:cfIcon iconSet="3TrafficLights1" iconId="1"/>
              <x14:cfIcon iconSet="3Triangles" iconId="0"/>
            </x14:iconSet>
          </x14:cfRule>
          <xm:sqref>E2:E6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ADD02-35CF-3340-937F-E998ED76D6AE}">
  <dimension ref="A1:F8"/>
  <sheetViews>
    <sheetView workbookViewId="0">
      <selection activeCell="B8" sqref="B8"/>
    </sheetView>
  </sheetViews>
  <sheetFormatPr baseColWidth="10" defaultRowHeight="16" x14ac:dyDescent="0.2"/>
  <cols>
    <col min="1" max="1" width="19.83203125" bestFit="1" customWidth="1"/>
    <col min="2" max="2" width="22.1640625" bestFit="1" customWidth="1"/>
    <col min="3" max="3" width="19.33203125" bestFit="1" customWidth="1"/>
    <col min="4" max="4" width="21.6640625" bestFit="1" customWidth="1"/>
    <col min="5" max="5" width="20.83203125" bestFit="1" customWidth="1"/>
  </cols>
  <sheetData>
    <row r="1" spans="1:6" x14ac:dyDescent="0.2">
      <c r="A1" s="34" t="s">
        <v>891</v>
      </c>
      <c r="B1" s="35">
        <v>2023</v>
      </c>
    </row>
    <row r="3" spans="1:6" x14ac:dyDescent="0.2">
      <c r="A3" t="s">
        <v>896</v>
      </c>
      <c r="B3" t="s">
        <v>897</v>
      </c>
      <c r="C3" t="s">
        <v>898</v>
      </c>
      <c r="D3" t="s">
        <v>899</v>
      </c>
      <c r="E3" t="s">
        <v>900</v>
      </c>
    </row>
    <row r="4" spans="1:6" x14ac:dyDescent="0.2">
      <c r="A4" s="38">
        <v>4.8719999999999999</v>
      </c>
      <c r="B4" s="3">
        <v>1.1520710059171597</v>
      </c>
      <c r="C4" s="3">
        <v>1.6800199942873466</v>
      </c>
      <c r="D4" s="27">
        <v>0.11548899779370131</v>
      </c>
      <c r="E4" s="27">
        <v>0.34625234761823459</v>
      </c>
    </row>
    <row r="8" spans="1:6" x14ac:dyDescent="0.2">
      <c r="A8">
        <f>GETPIVOTDATA("Sum of Free Cash Flow",$A$3)</f>
        <v>4.8719999999999999</v>
      </c>
      <c r="B8" s="3">
        <f>GETPIVOTDATA("Sum of Cash Flow Quality",$A$3)</f>
        <v>1.1520710059171597</v>
      </c>
      <c r="C8" s="3">
        <f>GETPIVOTDATA("Sum of Debt-to-Equity",$A$3)</f>
        <v>1.6800199942873466</v>
      </c>
      <c r="D8" s="14">
        <f>GETPIVOTDATA("Sum of Operating Margin",$A$3)</f>
        <v>0.11548899779370131</v>
      </c>
      <c r="F8" s="14">
        <f>GETPIVOTDATA("Sum of Return On Equity",$A$3)</f>
        <v>0.34625234761823459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5CC0C-0A85-F741-9C62-D61B2BFA1DDC}">
  <dimension ref="A1:AU7"/>
  <sheetViews>
    <sheetView topLeftCell="AN1" workbookViewId="0">
      <selection activeCell="AU4" sqref="AU4"/>
    </sheetView>
  </sheetViews>
  <sheetFormatPr baseColWidth="10" defaultRowHeight="16" x14ac:dyDescent="0.2"/>
  <cols>
    <col min="1" max="1" width="42.1640625" bestFit="1" customWidth="1"/>
    <col min="2" max="2" width="26.83203125" bestFit="1" customWidth="1"/>
    <col min="3" max="3" width="42.6640625" bestFit="1" customWidth="1"/>
    <col min="4" max="4" width="25.5" bestFit="1" customWidth="1"/>
    <col min="5" max="5" width="31.5" bestFit="1" customWidth="1"/>
    <col min="6" max="6" width="16.83203125" bestFit="1" customWidth="1"/>
    <col min="7" max="7" width="14.83203125" bestFit="1" customWidth="1"/>
    <col min="8" max="8" width="27.6640625" bestFit="1" customWidth="1"/>
    <col min="9" max="9" width="17.1640625" bestFit="1" customWidth="1"/>
    <col min="10" max="10" width="32.6640625" bestFit="1" customWidth="1"/>
    <col min="11" max="11" width="40.1640625" bestFit="1" customWidth="1"/>
    <col min="12" max="12" width="39.5" bestFit="1" customWidth="1"/>
    <col min="13" max="13" width="13.83203125" bestFit="1" customWidth="1"/>
    <col min="14" max="14" width="23" bestFit="1" customWidth="1"/>
    <col min="15" max="15" width="30.6640625" bestFit="1" customWidth="1"/>
    <col min="16" max="16" width="26.1640625" bestFit="1" customWidth="1"/>
    <col min="17" max="17" width="31.1640625" bestFit="1" customWidth="1"/>
    <col min="18" max="18" width="30.6640625" bestFit="1" customWidth="1"/>
    <col min="19" max="19" width="24.1640625" bestFit="1" customWidth="1"/>
    <col min="20" max="20" width="41" bestFit="1" customWidth="1"/>
    <col min="21" max="21" width="18.1640625" bestFit="1" customWidth="1"/>
    <col min="22" max="22" width="24.5" bestFit="1" customWidth="1"/>
    <col min="23" max="23" width="31.5" bestFit="1" customWidth="1"/>
    <col min="24" max="24" width="21" bestFit="1" customWidth="1"/>
    <col min="25" max="25" width="25.1640625" customWidth="1"/>
    <col min="26" max="26" width="28.6640625" bestFit="1" customWidth="1"/>
    <col min="27" max="27" width="45.5" bestFit="1" customWidth="1"/>
    <col min="28" max="28" width="40" bestFit="1" customWidth="1"/>
    <col min="29" max="29" width="32.5" bestFit="1" customWidth="1"/>
    <col min="30" max="30" width="35" bestFit="1" customWidth="1"/>
    <col min="31" max="31" width="17.5" bestFit="1" customWidth="1"/>
    <col min="32" max="32" width="32" bestFit="1" customWidth="1"/>
    <col min="33" max="33" width="34.33203125" bestFit="1" customWidth="1"/>
    <col min="34" max="34" width="24.5" bestFit="1" customWidth="1"/>
    <col min="35" max="35" width="37" bestFit="1" customWidth="1"/>
    <col min="36" max="36" width="21" bestFit="1" customWidth="1"/>
    <col min="37" max="37" width="21.6640625" bestFit="1" customWidth="1"/>
    <col min="38" max="38" width="33.1640625" bestFit="1" customWidth="1"/>
    <col min="39" max="39" width="38.5" bestFit="1" customWidth="1"/>
    <col min="40" max="40" width="48.6640625" bestFit="1" customWidth="1"/>
    <col min="41" max="41" width="24.33203125" bestFit="1" customWidth="1"/>
    <col min="42" max="42" width="15.6640625" bestFit="1" customWidth="1"/>
    <col min="43" max="43" width="14" bestFit="1" customWidth="1"/>
    <col min="44" max="44" width="18.5" bestFit="1" customWidth="1"/>
    <col min="45" max="45" width="22.1640625" bestFit="1" customWidth="1"/>
    <col min="46" max="46" width="20.83203125" bestFit="1" customWidth="1"/>
    <col min="47" max="47" width="16.5" bestFit="1" customWidth="1"/>
  </cols>
  <sheetData>
    <row r="1" spans="1:47" ht="21" x14ac:dyDescent="0.25">
      <c r="A1" s="4" t="s">
        <v>543</v>
      </c>
      <c r="B1" s="4" t="s">
        <v>14</v>
      </c>
      <c r="C1" s="4" t="s">
        <v>21</v>
      </c>
      <c r="D1" s="4" t="s">
        <v>29</v>
      </c>
      <c r="E1" s="4" t="s">
        <v>36</v>
      </c>
      <c r="F1" s="4" t="s">
        <v>44</v>
      </c>
      <c r="G1" s="4" t="s">
        <v>52</v>
      </c>
      <c r="H1" s="4" t="s">
        <v>59</v>
      </c>
      <c r="I1" s="4" t="s">
        <v>67</v>
      </c>
      <c r="J1" s="4" t="s">
        <v>74</v>
      </c>
      <c r="K1" s="4" t="s">
        <v>82</v>
      </c>
      <c r="L1" s="4" t="s">
        <v>89</v>
      </c>
      <c r="M1" s="4" t="s">
        <v>95</v>
      </c>
      <c r="N1" s="4" t="s">
        <v>101</v>
      </c>
      <c r="O1" s="4" t="s">
        <v>108</v>
      </c>
      <c r="P1" s="4" t="s">
        <v>109</v>
      </c>
      <c r="Q1" s="4" t="s">
        <v>114</v>
      </c>
      <c r="R1" s="4" t="s">
        <v>119</v>
      </c>
      <c r="S1" s="4" t="s">
        <v>126</v>
      </c>
      <c r="T1" s="4" t="s">
        <v>132</v>
      </c>
      <c r="U1" s="4" t="s">
        <v>142</v>
      </c>
      <c r="V1" s="4" t="s">
        <v>149</v>
      </c>
      <c r="W1" s="4" t="s">
        <v>150</v>
      </c>
      <c r="X1" s="4" t="s">
        <v>157</v>
      </c>
      <c r="Y1" s="4" t="s">
        <v>164</v>
      </c>
      <c r="Z1" s="4" t="s">
        <v>171</v>
      </c>
      <c r="AA1" s="4" t="s">
        <v>179</v>
      </c>
      <c r="AB1" s="4" t="s">
        <v>183</v>
      </c>
      <c r="AC1" s="4" t="s">
        <v>184</v>
      </c>
      <c r="AD1" s="4" t="s">
        <v>190</v>
      </c>
      <c r="AE1" s="4" t="s">
        <v>197</v>
      </c>
      <c r="AF1" s="4" t="s">
        <v>204</v>
      </c>
      <c r="AG1" s="4" t="s">
        <v>205</v>
      </c>
      <c r="AH1" s="4" t="s">
        <v>206</v>
      </c>
      <c r="AI1" s="4" t="s">
        <v>214</v>
      </c>
      <c r="AJ1" s="4" t="s">
        <v>223</v>
      </c>
      <c r="AK1" s="4" t="s">
        <v>225</v>
      </c>
      <c r="AL1" s="4" t="s">
        <v>226</v>
      </c>
      <c r="AM1" s="4" t="s">
        <v>233</v>
      </c>
      <c r="AN1" s="4" t="s">
        <v>234</v>
      </c>
      <c r="AO1" s="4" t="s">
        <v>235</v>
      </c>
      <c r="AP1" s="4" t="s">
        <v>236</v>
      </c>
      <c r="AQ1" s="4" t="s">
        <v>244</v>
      </c>
      <c r="AR1" s="4" t="s">
        <v>552</v>
      </c>
      <c r="AS1" s="4" t="s">
        <v>553</v>
      </c>
      <c r="AT1" s="4" t="s">
        <v>554</v>
      </c>
      <c r="AU1" s="4" t="s">
        <v>555</v>
      </c>
    </row>
    <row r="2" spans="1:47" ht="19" x14ac:dyDescent="0.25">
      <c r="A2" s="6">
        <v>2025</v>
      </c>
      <c r="B2" s="5">
        <v>23.361999999999998</v>
      </c>
      <c r="C2" s="5">
        <v>9.1509999999999998</v>
      </c>
      <c r="D2" s="5">
        <v>7.4640000000000004</v>
      </c>
      <c r="E2" s="5">
        <v>1.6870000000000001</v>
      </c>
      <c r="F2" s="5">
        <v>4.7169999999999996</v>
      </c>
      <c r="G2" s="5">
        <v>7.4889999999999999</v>
      </c>
      <c r="H2" s="5">
        <v>2.0049999999999999</v>
      </c>
      <c r="I2" s="5">
        <v>36.579000000000001</v>
      </c>
      <c r="J2" s="5">
        <v>13.217000000000001</v>
      </c>
      <c r="K2" s="5">
        <v>7.54</v>
      </c>
      <c r="L2" s="5">
        <v>499</v>
      </c>
      <c r="M2" s="5">
        <v>240</v>
      </c>
      <c r="N2" s="5">
        <v>259</v>
      </c>
      <c r="O2" s="5">
        <v>0</v>
      </c>
      <c r="P2" s="5">
        <v>0</v>
      </c>
      <c r="Q2" s="5">
        <v>5.1779999999999999</v>
      </c>
      <c r="R2" s="5">
        <v>10.566000000000001</v>
      </c>
      <c r="S2" s="5">
        <v>3.4790000000000001</v>
      </c>
      <c r="T2" s="5">
        <v>507</v>
      </c>
      <c r="U2" s="5">
        <v>669</v>
      </c>
      <c r="V2" s="5">
        <v>0</v>
      </c>
      <c r="W2" s="5">
        <v>5.9109999999999996</v>
      </c>
      <c r="X2" s="5">
        <v>23.366</v>
      </c>
      <c r="Y2" s="5">
        <v>12.8</v>
      </c>
      <c r="Z2" s="5">
        <v>10.510999999999999</v>
      </c>
      <c r="AA2" s="5">
        <v>0</v>
      </c>
      <c r="AB2" s="5">
        <v>0</v>
      </c>
      <c r="AC2" s="5">
        <v>3.052</v>
      </c>
      <c r="AD2" s="5">
        <v>-763</v>
      </c>
      <c r="AE2" s="5">
        <v>13.212999999999999</v>
      </c>
      <c r="AF2" s="5">
        <v>0</v>
      </c>
      <c r="AG2" s="5">
        <v>13.212999999999999</v>
      </c>
      <c r="AH2" s="5">
        <v>-727</v>
      </c>
      <c r="AI2" s="5">
        <v>-258</v>
      </c>
      <c r="AJ2" s="5">
        <v>3</v>
      </c>
      <c r="AK2" s="5">
        <v>0</v>
      </c>
      <c r="AL2" s="5">
        <v>14.195</v>
      </c>
      <c r="AM2" s="5">
        <v>36.579000000000001</v>
      </c>
      <c r="AN2" s="5">
        <v>36.579000000000001</v>
      </c>
      <c r="AO2" s="5">
        <v>1.6870000000000001</v>
      </c>
      <c r="AP2" s="5">
        <v>11.018000000000001</v>
      </c>
      <c r="AQ2" s="5">
        <v>3.5539999999999998</v>
      </c>
      <c r="AR2" s="13">
        <f>Table1[[#This Row],[Total Current Assets]]/Table1[[#This Row],[Total Current Liabilities]]</f>
        <v>2.2110543251940182</v>
      </c>
      <c r="AS2" s="5">
        <f>Table1[[#This Row],[Total Current Assets]]-Table1[[#This Row],[Total Current Liabilities]]</f>
        <v>12.795999999999998</v>
      </c>
      <c r="AT2" s="5">
        <f>Table1[[#This Row],[Total Liabilities]]/Table1[[#This Row],[Total Equity]]</f>
        <v>1.7684098993415576</v>
      </c>
      <c r="AU2" s="5">
        <f>Table1[[#This Row],[Total Liabilities]]/Table1[[#This Row],[Total Assets]]</f>
        <v>0.6387818147024249</v>
      </c>
    </row>
    <row r="3" spans="1:47" ht="19" x14ac:dyDescent="0.25">
      <c r="A3" s="6">
        <v>2024</v>
      </c>
      <c r="B3" s="5">
        <v>25.382000000000001</v>
      </c>
      <c r="C3" s="5">
        <v>11.582000000000001</v>
      </c>
      <c r="D3" s="5">
        <v>9.86</v>
      </c>
      <c r="E3" s="5">
        <v>1.722</v>
      </c>
      <c r="F3" s="5">
        <v>4.4269999999999996</v>
      </c>
      <c r="G3" s="5">
        <v>7.5190000000000001</v>
      </c>
      <c r="H3" s="5">
        <v>1.8540000000000001</v>
      </c>
      <c r="I3" s="5">
        <v>38.11</v>
      </c>
      <c r="J3" s="5">
        <v>12.728</v>
      </c>
      <c r="K3" s="5">
        <v>7.718</v>
      </c>
      <c r="L3" s="5">
        <v>499</v>
      </c>
      <c r="M3" s="5">
        <v>240</v>
      </c>
      <c r="N3" s="5">
        <v>259</v>
      </c>
      <c r="O3" s="5">
        <v>0</v>
      </c>
      <c r="P3" s="5">
        <v>0</v>
      </c>
      <c r="Q3" s="5">
        <v>4.5110000000000001</v>
      </c>
      <c r="R3" s="5">
        <v>10.593</v>
      </c>
      <c r="S3" s="5">
        <v>2.851</v>
      </c>
      <c r="T3" s="5">
        <v>1.4830000000000001</v>
      </c>
      <c r="U3" s="5">
        <v>534</v>
      </c>
      <c r="V3" s="5">
        <v>0</v>
      </c>
      <c r="W3" s="5">
        <v>5.7249999999999996</v>
      </c>
      <c r="X3" s="5">
        <v>23.68</v>
      </c>
      <c r="Y3" s="5">
        <v>13.087</v>
      </c>
      <c r="Z3" s="5">
        <v>10.468999999999999</v>
      </c>
      <c r="AA3" s="5">
        <v>0</v>
      </c>
      <c r="AB3" s="5">
        <v>0</v>
      </c>
      <c r="AC3" s="5">
        <v>3.0430000000000001</v>
      </c>
      <c r="AD3" s="5">
        <v>-425</v>
      </c>
      <c r="AE3" s="5">
        <v>14.43</v>
      </c>
      <c r="AF3" s="5">
        <v>0</v>
      </c>
      <c r="AG3" s="5">
        <v>14.43</v>
      </c>
      <c r="AH3" s="5">
        <v>965</v>
      </c>
      <c r="AI3" s="5">
        <v>53</v>
      </c>
      <c r="AJ3" s="5">
        <v>3</v>
      </c>
      <c r="AK3" s="5">
        <v>0</v>
      </c>
      <c r="AL3" s="5">
        <v>13.409000000000001</v>
      </c>
      <c r="AM3" s="5">
        <v>38.11</v>
      </c>
      <c r="AN3" s="5">
        <v>38.11</v>
      </c>
      <c r="AO3" s="5">
        <v>1.722</v>
      </c>
      <c r="AP3" s="5">
        <v>11.952</v>
      </c>
      <c r="AQ3" s="5">
        <v>2.0920000000000001</v>
      </c>
      <c r="AR3" s="13">
        <f>Table1[[#This Row],[Total Current Assets]]/Table1[[#This Row],[Total Current Liabilities]]</f>
        <v>2.3961106391012934</v>
      </c>
      <c r="AS3" s="5">
        <f>Table1[[#This Row],[Total Current Assets]]-Table1[[#This Row],[Total Current Liabilities]]</f>
        <v>14.789000000000001</v>
      </c>
      <c r="AT3" s="5">
        <f>Table1[[#This Row],[Total Liabilities]]/Table1[[#This Row],[Total Equity]]</f>
        <v>1.641025641025641</v>
      </c>
      <c r="AU3" s="5">
        <f>Table1[[#This Row],[Total Liabilities]]/Table1[[#This Row],[Total Assets]]</f>
        <v>0.62135922330097093</v>
      </c>
    </row>
    <row r="4" spans="1:47" ht="19" x14ac:dyDescent="0.25">
      <c r="A4" s="6">
        <v>2023</v>
      </c>
      <c r="B4" s="5">
        <v>25.202000000000002</v>
      </c>
      <c r="C4" s="5">
        <v>10.675000000000001</v>
      </c>
      <c r="D4" s="5">
        <v>7.4409999999999998</v>
      </c>
      <c r="E4" s="5">
        <v>3.234</v>
      </c>
      <c r="F4" s="5">
        <v>4.1310000000000002</v>
      </c>
      <c r="G4" s="5">
        <v>8.4540000000000006</v>
      </c>
      <c r="H4" s="5">
        <v>1.9419999999999999</v>
      </c>
      <c r="I4" s="5">
        <v>37.530999999999999</v>
      </c>
      <c r="J4" s="5">
        <v>12.329000000000001</v>
      </c>
      <c r="K4" s="5">
        <v>8.0039999999999996</v>
      </c>
      <c r="L4" s="5">
        <v>555</v>
      </c>
      <c r="M4" s="5">
        <v>281</v>
      </c>
      <c r="N4" s="5">
        <v>274</v>
      </c>
      <c r="O4" s="5">
        <v>0</v>
      </c>
      <c r="P4" s="5">
        <v>0</v>
      </c>
      <c r="Q4" s="5">
        <v>3.77</v>
      </c>
      <c r="R4" s="5">
        <v>9.2560000000000002</v>
      </c>
      <c r="S4" s="5">
        <v>2.8620000000000001</v>
      </c>
      <c r="T4" s="5">
        <v>431</v>
      </c>
      <c r="U4" s="5">
        <v>240</v>
      </c>
      <c r="V4" s="5">
        <v>0</v>
      </c>
      <c r="W4" s="5">
        <v>5.7229999999999999</v>
      </c>
      <c r="X4" s="5">
        <v>23.527000000000001</v>
      </c>
      <c r="Y4" s="5">
        <v>14.271000000000001</v>
      </c>
      <c r="Z4" s="5">
        <v>11.712999999999999</v>
      </c>
      <c r="AA4" s="5">
        <v>0</v>
      </c>
      <c r="AB4" s="5">
        <v>0</v>
      </c>
      <c r="AC4" s="5">
        <v>3.2109999999999999</v>
      </c>
      <c r="AD4" s="5">
        <v>-653</v>
      </c>
      <c r="AE4" s="5">
        <v>14.004</v>
      </c>
      <c r="AF4" s="5">
        <v>0</v>
      </c>
      <c r="AG4" s="5">
        <v>14.004</v>
      </c>
      <c r="AH4" s="5">
        <v>1.3580000000000001</v>
      </c>
      <c r="AI4" s="5">
        <v>231</v>
      </c>
      <c r="AJ4" s="5">
        <v>3</v>
      </c>
      <c r="AK4" s="5">
        <v>0</v>
      </c>
      <c r="AL4" s="5">
        <v>12.412000000000001</v>
      </c>
      <c r="AM4" s="5">
        <v>37.530999999999999</v>
      </c>
      <c r="AN4" s="5">
        <v>37.530999999999999</v>
      </c>
      <c r="AO4" s="5">
        <v>3.234</v>
      </c>
      <c r="AP4" s="5">
        <v>12.144</v>
      </c>
      <c r="AQ4" s="5">
        <v>4.7030000000000003</v>
      </c>
      <c r="AR4" s="13">
        <f>Table1[[#This Row],[Total Current Assets]]/Table1[[#This Row],[Total Current Liabilities]]</f>
        <v>2.7227744165946413</v>
      </c>
      <c r="AS4" s="5">
        <f>Table1[[#This Row],[Total Current Assets]]-Table1[[#This Row],[Total Current Liabilities]]</f>
        <v>15.946000000000002</v>
      </c>
      <c r="AT4" s="5">
        <f>Table1[[#This Row],[Total Liabilities]]/Table1[[#This Row],[Total Equity]]</f>
        <v>1.6800199942873466</v>
      </c>
      <c r="AU4" s="5">
        <f>Table1[[#This Row],[Total Liabilities]]/Table1[[#This Row],[Total Assets]]</f>
        <v>0.62686845541019431</v>
      </c>
    </row>
    <row r="5" spans="1:47" ht="19" x14ac:dyDescent="0.25">
      <c r="A5" s="7">
        <v>2022</v>
      </c>
      <c r="B5" s="5">
        <v>28.213000000000001</v>
      </c>
      <c r="C5" s="5">
        <v>12.997</v>
      </c>
      <c r="D5" s="5">
        <v>8.5739999999999998</v>
      </c>
      <c r="E5" s="5">
        <v>4.423</v>
      </c>
      <c r="F5" s="5">
        <v>4.6669999999999998</v>
      </c>
      <c r="G5" s="5">
        <v>8.42</v>
      </c>
      <c r="H5" s="5">
        <v>2.129</v>
      </c>
      <c r="I5" s="5">
        <v>40.320999999999998</v>
      </c>
      <c r="J5" s="5">
        <v>12.108000000000001</v>
      </c>
      <c r="K5" s="5">
        <v>7.7169999999999996</v>
      </c>
      <c r="L5" s="5">
        <v>570</v>
      </c>
      <c r="M5" s="5">
        <v>284</v>
      </c>
      <c r="N5" s="5">
        <v>286</v>
      </c>
      <c r="O5" s="5">
        <v>0</v>
      </c>
      <c r="P5" s="5">
        <v>3.8210000000000002</v>
      </c>
      <c r="Q5" s="5">
        <v>0</v>
      </c>
      <c r="R5" s="5">
        <v>10.73</v>
      </c>
      <c r="S5" s="5">
        <v>3.3580000000000001</v>
      </c>
      <c r="T5" s="5">
        <v>930</v>
      </c>
      <c r="U5" s="5">
        <v>222</v>
      </c>
      <c r="V5" s="5">
        <v>0</v>
      </c>
      <c r="W5" s="5">
        <v>6.22</v>
      </c>
      <c r="X5" s="5">
        <v>25.04</v>
      </c>
      <c r="Y5" s="5">
        <v>14.31</v>
      </c>
      <c r="Z5" s="5">
        <v>11.696999999999999</v>
      </c>
      <c r="AA5" s="5">
        <v>2.613</v>
      </c>
      <c r="AB5" s="5">
        <v>0</v>
      </c>
      <c r="AC5" s="5">
        <v>3.1970000000000001</v>
      </c>
      <c r="AD5" s="5">
        <v>-3.1970000000000001</v>
      </c>
      <c r="AE5" s="5">
        <v>15.281000000000001</v>
      </c>
      <c r="AF5" s="5">
        <v>0</v>
      </c>
      <c r="AG5" s="5">
        <v>15.281000000000001</v>
      </c>
      <c r="AH5" s="5">
        <v>3.476</v>
      </c>
      <c r="AI5" s="5">
        <v>318</v>
      </c>
      <c r="AJ5" s="5">
        <v>3</v>
      </c>
      <c r="AK5" s="5">
        <v>0</v>
      </c>
      <c r="AL5" s="5">
        <v>11.484</v>
      </c>
      <c r="AM5" s="5">
        <v>40.320999999999998</v>
      </c>
      <c r="AN5" s="5">
        <v>40.320999999999998</v>
      </c>
      <c r="AO5" s="5">
        <v>4.423</v>
      </c>
      <c r="AP5" s="5">
        <v>12.627000000000001</v>
      </c>
      <c r="AQ5" s="5">
        <v>4.0529999999999999</v>
      </c>
      <c r="AR5" s="13">
        <f>Table1[[#This Row],[Total Current Assets]]/Table1[[#This Row],[Total Current Liabilities]]</f>
        <v>2.6293569431500465</v>
      </c>
      <c r="AS5" s="5">
        <f>Table1[[#This Row],[Total Current Assets]]-Table1[[#This Row],[Total Current Liabilities]]</f>
        <v>17.483000000000001</v>
      </c>
      <c r="AT5" s="5">
        <f>Table1[[#This Row],[Total Liabilities]]/Table1[[#This Row],[Total Equity]]</f>
        <v>1.6386362149074012</v>
      </c>
      <c r="AU5" s="5">
        <f>Table1[[#This Row],[Total Liabilities]]/Table1[[#This Row],[Total Assets]]</f>
        <v>0.62101634384067861</v>
      </c>
    </row>
    <row r="6" spans="1:47" ht="19" x14ac:dyDescent="0.25">
      <c r="A6" s="7">
        <v>2021</v>
      </c>
      <c r="B6" s="5">
        <v>26.291</v>
      </c>
      <c r="C6" s="5">
        <v>13.476000000000001</v>
      </c>
      <c r="D6" s="5">
        <v>9.8889999999999993</v>
      </c>
      <c r="E6" s="5">
        <v>3.5870000000000002</v>
      </c>
      <c r="F6" s="5">
        <v>4.4630000000000001</v>
      </c>
      <c r="G6" s="5">
        <v>6.8540000000000001</v>
      </c>
      <c r="H6" s="5">
        <v>1.498</v>
      </c>
      <c r="I6" s="5">
        <v>37.74</v>
      </c>
      <c r="J6" s="5">
        <v>11.449</v>
      </c>
      <c r="K6" s="5">
        <v>8.0169999999999995</v>
      </c>
      <c r="L6" s="5">
        <v>511</v>
      </c>
      <c r="M6" s="5">
        <v>242</v>
      </c>
      <c r="N6" s="5">
        <v>269</v>
      </c>
      <c r="O6" s="5">
        <v>0</v>
      </c>
      <c r="P6" s="5">
        <v>2.9209999999999998</v>
      </c>
      <c r="Q6" s="5">
        <v>0</v>
      </c>
      <c r="R6" s="5">
        <v>9.6739999999999995</v>
      </c>
      <c r="S6" s="5">
        <v>2.8359999999999999</v>
      </c>
      <c r="T6" s="5">
        <v>469</v>
      </c>
      <c r="U6" s="5">
        <v>306</v>
      </c>
      <c r="V6" s="5">
        <v>0</v>
      </c>
      <c r="W6" s="5">
        <v>6.0629999999999997</v>
      </c>
      <c r="X6" s="5">
        <v>24.972999999999999</v>
      </c>
      <c r="Y6" s="5">
        <v>15.298999999999999</v>
      </c>
      <c r="Z6" s="5">
        <v>12.343999999999999</v>
      </c>
      <c r="AA6" s="5">
        <v>2.9550000000000001</v>
      </c>
      <c r="AB6" s="5">
        <v>0</v>
      </c>
      <c r="AC6" s="5">
        <v>3.3980000000000001</v>
      </c>
      <c r="AD6" s="5">
        <v>-3.3980000000000001</v>
      </c>
      <c r="AE6" s="5">
        <v>12.766999999999999</v>
      </c>
      <c r="AF6" s="5">
        <v>0</v>
      </c>
      <c r="AG6" s="5">
        <v>12.766999999999999</v>
      </c>
      <c r="AH6" s="5">
        <v>3.1789999999999998</v>
      </c>
      <c r="AI6" s="5">
        <v>-380</v>
      </c>
      <c r="AJ6" s="5">
        <v>3</v>
      </c>
      <c r="AK6" s="5">
        <v>0</v>
      </c>
      <c r="AL6" s="5">
        <v>9.9649999999999999</v>
      </c>
      <c r="AM6" s="5">
        <v>37.74</v>
      </c>
      <c r="AN6" s="5">
        <v>37.74</v>
      </c>
      <c r="AO6" s="5">
        <v>3.5870000000000002</v>
      </c>
      <c r="AP6" s="5">
        <v>12.813000000000001</v>
      </c>
      <c r="AQ6" s="5">
        <v>2.9239999999999999</v>
      </c>
      <c r="AR6" s="13">
        <f>Table1[[#This Row],[Total Current Assets]]/Table1[[#This Row],[Total Current Liabilities]]</f>
        <v>2.717696919578251</v>
      </c>
      <c r="AS6" s="5">
        <f>Table1[[#This Row],[Total Current Assets]]-Table1[[#This Row],[Total Current Liabilities]]</f>
        <v>16.617000000000001</v>
      </c>
      <c r="AT6" s="5">
        <f>Table1[[#This Row],[Total Liabilities]]/Table1[[#This Row],[Total Equity]]</f>
        <v>1.9560585885486019</v>
      </c>
      <c r="AU6" s="5">
        <f>Table1[[#This Row],[Total Liabilities]]/Table1[[#This Row],[Total Assets]]</f>
        <v>0.66171171171171161</v>
      </c>
    </row>
    <row r="7" spans="1:47" ht="19" x14ac:dyDescent="0.25">
      <c r="A7" s="6">
        <v>2020</v>
      </c>
      <c r="B7" s="12">
        <v>20.556000000000001</v>
      </c>
      <c r="C7" s="12">
        <v>8.7870000000000008</v>
      </c>
      <c r="D7" s="12">
        <v>8.3480000000000008</v>
      </c>
      <c r="E7" s="12">
        <v>439</v>
      </c>
      <c r="F7" s="12">
        <v>2.7490000000000001</v>
      </c>
      <c r="G7" s="12">
        <v>7.367</v>
      </c>
      <c r="H7" s="12">
        <v>1.653</v>
      </c>
      <c r="I7" s="12">
        <v>31.341999999999999</v>
      </c>
      <c r="J7" s="12">
        <v>10.786</v>
      </c>
      <c r="K7" s="12">
        <v>7.9630000000000001</v>
      </c>
      <c r="L7" s="12">
        <v>497</v>
      </c>
      <c r="M7" s="12">
        <v>223</v>
      </c>
      <c r="N7" s="12">
        <v>274</v>
      </c>
      <c r="O7" s="12">
        <v>0</v>
      </c>
      <c r="P7" s="12">
        <v>2.3260000000000001</v>
      </c>
      <c r="Q7" s="12">
        <v>0</v>
      </c>
      <c r="R7" s="12">
        <v>8.2840000000000007</v>
      </c>
      <c r="S7" s="12">
        <v>2.2480000000000002</v>
      </c>
      <c r="T7" s="12">
        <v>696</v>
      </c>
      <c r="U7" s="12">
        <v>156</v>
      </c>
      <c r="V7" s="12">
        <v>0</v>
      </c>
      <c r="W7" s="12">
        <v>5.1840000000000002</v>
      </c>
      <c r="X7" s="12">
        <v>23.286999999999999</v>
      </c>
      <c r="Y7" s="12">
        <v>15.003</v>
      </c>
      <c r="Z7" s="12">
        <v>12.319000000000001</v>
      </c>
      <c r="AA7" s="12">
        <v>2.6840000000000002</v>
      </c>
      <c r="AB7" s="12">
        <v>0</v>
      </c>
      <c r="AC7" s="12">
        <v>3.3580000000000001</v>
      </c>
      <c r="AD7" s="12">
        <v>-3.3580000000000001</v>
      </c>
      <c r="AE7" s="12">
        <v>8.0549999999999997</v>
      </c>
      <c r="AF7" s="12">
        <v>0</v>
      </c>
      <c r="AG7" s="12">
        <v>8.0549999999999997</v>
      </c>
      <c r="AH7" s="12">
        <v>-191</v>
      </c>
      <c r="AI7" s="12">
        <v>-56</v>
      </c>
      <c r="AJ7" s="12">
        <v>3</v>
      </c>
      <c r="AK7" s="12">
        <v>0</v>
      </c>
      <c r="AL7" s="12">
        <v>8.2989999999999995</v>
      </c>
      <c r="AM7" s="12">
        <v>31.341999999999999</v>
      </c>
      <c r="AN7" s="12">
        <v>31.341999999999999</v>
      </c>
      <c r="AO7" s="12">
        <v>439</v>
      </c>
      <c r="AP7" s="12">
        <v>13.015000000000001</v>
      </c>
      <c r="AQ7" s="12">
        <v>4.6669999999999998</v>
      </c>
      <c r="AR7" s="13">
        <f>Table1[[#This Row],[Total Current Assets]]/Table1[[#This Row],[Total Current Liabilities]]</f>
        <v>2.4814099468855626</v>
      </c>
      <c r="AS7" s="5">
        <f>Table1[[#This Row],[Total Current Assets]]-Table1[[#This Row],[Total Current Liabilities]]</f>
        <v>12.272</v>
      </c>
      <c r="AT7" s="5">
        <f>Table1[[#This Row],[Total Liabilities]]/Table1[[#This Row],[Total Equity]]</f>
        <v>2.8909993792675355</v>
      </c>
      <c r="AU7" s="5">
        <f>Table1[[#This Row],[Total Liabilities]]/Table1[[#This Row],[Total Assets]]</f>
        <v>0.74299661795673533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13F71-B886-2848-AF69-20F4569D45CF}">
  <dimension ref="A1:AG6"/>
  <sheetViews>
    <sheetView topLeftCell="R1" workbookViewId="0">
      <selection activeCell="AH3" sqref="AH3"/>
    </sheetView>
  </sheetViews>
  <sheetFormatPr baseColWidth="10" defaultRowHeight="16" x14ac:dyDescent="0.2"/>
  <cols>
    <col min="1" max="1" width="42.1640625" bestFit="1" customWidth="1"/>
    <col min="2" max="2" width="33" bestFit="1" customWidth="1"/>
    <col min="3" max="3" width="39.5" bestFit="1" customWidth="1"/>
    <col min="4" max="4" width="39.83203125" bestFit="1" customWidth="1"/>
    <col min="5" max="5" width="27.5" bestFit="1" customWidth="1"/>
    <col min="6" max="6" width="35" bestFit="1" customWidth="1"/>
    <col min="7" max="7" width="29.1640625" bestFit="1" customWidth="1"/>
    <col min="8" max="8" width="35.5" bestFit="1" customWidth="1"/>
    <col min="9" max="9" width="27.33203125" bestFit="1" customWidth="1"/>
    <col min="10" max="10" width="14.83203125" bestFit="1" customWidth="1"/>
    <col min="11" max="11" width="24.1640625" bestFit="1" customWidth="1"/>
    <col min="12" max="12" width="24.5" bestFit="1" customWidth="1"/>
    <col min="13" max="13" width="29.83203125" bestFit="1" customWidth="1"/>
    <col min="14" max="14" width="38.1640625" bestFit="1" customWidth="1"/>
    <col min="15" max="15" width="57.33203125" bestFit="1" customWidth="1"/>
    <col min="16" max="16" width="33.83203125" bestFit="1" customWidth="1"/>
    <col min="17" max="17" width="30.1640625" bestFit="1" customWidth="1"/>
    <col min="18" max="18" width="45.33203125" bestFit="1" customWidth="1"/>
    <col min="19" max="19" width="33" bestFit="1" customWidth="1"/>
    <col min="20" max="20" width="38.6640625" bestFit="1" customWidth="1"/>
    <col min="21" max="21" width="23" bestFit="1" customWidth="1"/>
    <col min="22" max="22" width="28.83203125" bestFit="1" customWidth="1"/>
    <col min="23" max="23" width="36.83203125" bestFit="1" customWidth="1"/>
    <col min="24" max="24" width="20.6640625" bestFit="1" customWidth="1"/>
    <col min="25" max="25" width="33.5" bestFit="1" customWidth="1"/>
    <col min="26" max="26" width="40.33203125" bestFit="1" customWidth="1"/>
    <col min="27" max="27" width="25.83203125" bestFit="1" customWidth="1"/>
    <col min="28" max="28" width="35.6640625" bestFit="1" customWidth="1"/>
    <col min="29" max="29" width="28.33203125" bestFit="1" customWidth="1"/>
    <col min="30" max="30" width="20.5" bestFit="1" customWidth="1"/>
    <col min="31" max="31" width="27.33203125" bestFit="1" customWidth="1"/>
    <col min="32" max="32" width="26.33203125" bestFit="1" customWidth="1"/>
    <col min="33" max="33" width="21.83203125" bestFit="1" customWidth="1"/>
  </cols>
  <sheetData>
    <row r="1" spans="1:33" ht="21" x14ac:dyDescent="0.25">
      <c r="A1" s="4" t="s">
        <v>543</v>
      </c>
      <c r="B1" s="4" t="s">
        <v>394</v>
      </c>
      <c r="C1" s="4" t="s">
        <v>395</v>
      </c>
      <c r="D1" s="4" t="s">
        <v>347</v>
      </c>
      <c r="E1" s="4" t="s">
        <v>403</v>
      </c>
      <c r="F1" s="4" t="s">
        <v>411</v>
      </c>
      <c r="G1" s="4" t="s">
        <v>418</v>
      </c>
      <c r="H1" s="4" t="s">
        <v>421</v>
      </c>
      <c r="I1" s="4" t="s">
        <v>426</v>
      </c>
      <c r="J1" s="4" t="s">
        <v>52</v>
      </c>
      <c r="K1" s="4" t="s">
        <v>126</v>
      </c>
      <c r="L1" s="4" t="s">
        <v>149</v>
      </c>
      <c r="M1" s="4" t="s">
        <v>450</v>
      </c>
      <c r="N1" s="4" t="s">
        <v>452</v>
      </c>
      <c r="O1" s="4" t="s">
        <v>457</v>
      </c>
      <c r="P1" s="4" t="s">
        <v>464</v>
      </c>
      <c r="Q1" s="4" t="s">
        <v>466</v>
      </c>
      <c r="R1" s="4" t="s">
        <v>473</v>
      </c>
      <c r="S1" s="4" t="s">
        <v>479</v>
      </c>
      <c r="T1" s="4" t="s">
        <v>485</v>
      </c>
      <c r="U1" s="4" t="s">
        <v>492</v>
      </c>
      <c r="V1" s="4" t="s">
        <v>496</v>
      </c>
      <c r="W1" s="4" t="s">
        <v>498</v>
      </c>
      <c r="X1" s="4" t="s">
        <v>505</v>
      </c>
      <c r="Y1" s="4" t="s">
        <v>513</v>
      </c>
      <c r="Z1" s="4" t="s">
        <v>519</v>
      </c>
      <c r="AA1" s="4" t="s">
        <v>523</v>
      </c>
      <c r="AB1" s="4" t="s">
        <v>529</v>
      </c>
      <c r="AC1" s="4" t="s">
        <v>531</v>
      </c>
      <c r="AD1" s="4" t="s">
        <v>533</v>
      </c>
      <c r="AE1" s="4" t="s">
        <v>540</v>
      </c>
      <c r="AF1" s="4" t="s">
        <v>541</v>
      </c>
      <c r="AG1" s="4" t="s">
        <v>556</v>
      </c>
    </row>
    <row r="2" spans="1:33" ht="19" x14ac:dyDescent="0.25">
      <c r="A2" s="6">
        <v>2025</v>
      </c>
      <c r="B2" s="5">
        <v>3.2189999999999999</v>
      </c>
      <c r="C2" s="5">
        <v>3.698</v>
      </c>
      <c r="D2" s="5">
        <v>775</v>
      </c>
      <c r="E2" s="5">
        <v>-288</v>
      </c>
      <c r="F2" s="5">
        <v>709</v>
      </c>
      <c r="G2" s="5">
        <v>70</v>
      </c>
      <c r="H2" s="5">
        <v>-787</v>
      </c>
      <c r="I2" s="5">
        <v>-257</v>
      </c>
      <c r="J2" s="5">
        <v>120</v>
      </c>
      <c r="K2" s="5">
        <v>-426</v>
      </c>
      <c r="L2" s="5">
        <v>-224</v>
      </c>
      <c r="M2" s="5">
        <v>0</v>
      </c>
      <c r="N2" s="5">
        <v>-275</v>
      </c>
      <c r="O2" s="5">
        <v>-430</v>
      </c>
      <c r="P2" s="5">
        <v>0</v>
      </c>
      <c r="Q2" s="5">
        <v>-3.234</v>
      </c>
      <c r="R2" s="5">
        <v>3.3809999999999998</v>
      </c>
      <c r="S2" s="5">
        <v>8</v>
      </c>
      <c r="T2" s="5">
        <v>-5.82</v>
      </c>
      <c r="U2" s="5">
        <v>-1.0009999999999999</v>
      </c>
      <c r="V2" s="5">
        <v>551</v>
      </c>
      <c r="W2" s="5">
        <v>-2.9849999999999999</v>
      </c>
      <c r="X2" s="5">
        <v>-2.2999999999999998</v>
      </c>
      <c r="Y2" s="5">
        <v>-85</v>
      </c>
      <c r="Z2" s="5">
        <v>1</v>
      </c>
      <c r="AA2" s="5">
        <v>-2.3959999999999999</v>
      </c>
      <c r="AB2" s="5">
        <v>9.86</v>
      </c>
      <c r="AC2" s="5">
        <v>7.4640000000000004</v>
      </c>
      <c r="AD2" s="5">
        <v>3.2679999999999998</v>
      </c>
      <c r="AE2" s="5">
        <v>3.698</v>
      </c>
      <c r="AF2" s="5">
        <v>-430</v>
      </c>
      <c r="AG2" s="13">
        <f xml:space="preserve"> Table3[[#This Row],[Operating Cash Flow]]/Table3[[#This Row],[Net Income/Starting Line]]</f>
        <v>1.1488039763901834</v>
      </c>
    </row>
    <row r="3" spans="1:33" ht="19" x14ac:dyDescent="0.25">
      <c r="A3" s="6">
        <v>2024</v>
      </c>
      <c r="B3" s="5">
        <v>5.7</v>
      </c>
      <c r="C3" s="5">
        <v>7.4290000000000003</v>
      </c>
      <c r="D3" s="5">
        <v>844</v>
      </c>
      <c r="E3" s="5">
        <v>-497</v>
      </c>
      <c r="F3" s="5">
        <v>804</v>
      </c>
      <c r="G3" s="5">
        <v>-138</v>
      </c>
      <c r="H3" s="5">
        <v>716</v>
      </c>
      <c r="I3" s="5">
        <v>-329</v>
      </c>
      <c r="J3" s="5">
        <v>908</v>
      </c>
      <c r="K3" s="5">
        <v>397</v>
      </c>
      <c r="L3" s="5">
        <v>-260</v>
      </c>
      <c r="M3" s="5">
        <v>0</v>
      </c>
      <c r="N3" s="5">
        <v>894</v>
      </c>
      <c r="O3" s="5">
        <v>-812</v>
      </c>
      <c r="P3" s="5">
        <v>0</v>
      </c>
      <c r="Q3" s="5">
        <v>-4.7670000000000003</v>
      </c>
      <c r="R3" s="5">
        <v>6.4880000000000004</v>
      </c>
      <c r="S3" s="5">
        <v>-15</v>
      </c>
      <c r="T3" s="5">
        <v>-5.8879999999999999</v>
      </c>
      <c r="U3" s="5">
        <v>0</v>
      </c>
      <c r="V3" s="5">
        <v>0</v>
      </c>
      <c r="W3" s="5">
        <v>-4.25</v>
      </c>
      <c r="X3" s="5">
        <v>-2.169</v>
      </c>
      <c r="Y3" s="5">
        <v>531</v>
      </c>
      <c r="Z3" s="5">
        <v>-16</v>
      </c>
      <c r="AA3" s="5">
        <v>2.419</v>
      </c>
      <c r="AB3" s="5">
        <v>7.4409999999999998</v>
      </c>
      <c r="AC3" s="5">
        <v>9.86</v>
      </c>
      <c r="AD3" s="5">
        <v>6.617</v>
      </c>
      <c r="AE3" s="5">
        <v>7.4290000000000003</v>
      </c>
      <c r="AF3" s="5">
        <v>-812</v>
      </c>
      <c r="AG3" s="13">
        <f xml:space="preserve"> Table3[[#This Row],[Operating Cash Flow]]/Table3[[#This Row],[Net Income/Starting Line]]</f>
        <v>1.3033333333333332</v>
      </c>
    </row>
    <row r="4" spans="1:33" ht="19" x14ac:dyDescent="0.25">
      <c r="A4" s="6">
        <v>2023</v>
      </c>
      <c r="B4" s="5">
        <v>5.07</v>
      </c>
      <c r="C4" s="5">
        <v>5.8410000000000002</v>
      </c>
      <c r="D4" s="5">
        <v>859</v>
      </c>
      <c r="E4" s="5">
        <v>-117</v>
      </c>
      <c r="F4" s="5">
        <v>755</v>
      </c>
      <c r="G4" s="5">
        <v>-213</v>
      </c>
      <c r="H4" s="5">
        <v>-513</v>
      </c>
      <c r="I4" s="5">
        <v>489</v>
      </c>
      <c r="J4" s="5">
        <v>-133</v>
      </c>
      <c r="K4" s="5">
        <v>-225</v>
      </c>
      <c r="L4" s="5">
        <v>-644</v>
      </c>
      <c r="M4" s="5">
        <v>0</v>
      </c>
      <c r="N4" s="5">
        <v>564</v>
      </c>
      <c r="O4" s="5">
        <v>-969</v>
      </c>
      <c r="P4" s="5">
        <v>0</v>
      </c>
      <c r="Q4" s="5">
        <v>-6.0590000000000002</v>
      </c>
      <c r="R4" s="5">
        <v>7.54</v>
      </c>
      <c r="S4" s="5">
        <v>52</v>
      </c>
      <c r="T4" s="5">
        <v>-7.4470000000000001</v>
      </c>
      <c r="U4" s="5">
        <v>-504</v>
      </c>
      <c r="V4" s="5">
        <v>0</v>
      </c>
      <c r="W4" s="5">
        <v>-5.48</v>
      </c>
      <c r="X4" s="5">
        <v>-2.012</v>
      </c>
      <c r="Y4" s="5">
        <v>549</v>
      </c>
      <c r="Z4" s="5">
        <v>-91</v>
      </c>
      <c r="AA4" s="5">
        <v>-1.133</v>
      </c>
      <c r="AB4" s="5">
        <v>8.5739999999999998</v>
      </c>
      <c r="AC4" s="5">
        <v>7.4409999999999998</v>
      </c>
      <c r="AD4" s="5">
        <v>4.8719999999999999</v>
      </c>
      <c r="AE4" s="5">
        <v>5.8410000000000002</v>
      </c>
      <c r="AF4" s="5">
        <v>-969</v>
      </c>
      <c r="AG4" s="13">
        <f xml:space="preserve"> Table3[[#This Row],[Operating Cash Flow]]/Table3[[#This Row],[Net Income/Starting Line]]</f>
        <v>1.1520710059171597</v>
      </c>
    </row>
    <row r="5" spans="1:33" ht="19" x14ac:dyDescent="0.25">
      <c r="A5" s="6">
        <v>2022</v>
      </c>
      <c r="B5" s="5">
        <v>6.0460000000000003</v>
      </c>
      <c r="C5" s="5">
        <v>5.1879999999999997</v>
      </c>
      <c r="D5" s="5">
        <v>840</v>
      </c>
      <c r="E5" s="5">
        <v>-650</v>
      </c>
      <c r="F5" s="5">
        <v>638</v>
      </c>
      <c r="G5" s="5">
        <v>-26</v>
      </c>
      <c r="H5" s="5">
        <v>-1.66</v>
      </c>
      <c r="I5" s="5">
        <v>-504</v>
      </c>
      <c r="J5" s="5">
        <v>-1.6759999999999999</v>
      </c>
      <c r="K5" s="5">
        <v>1.365</v>
      </c>
      <c r="L5" s="5">
        <v>-845</v>
      </c>
      <c r="M5" s="5">
        <v>0</v>
      </c>
      <c r="N5" s="5">
        <v>-1.524</v>
      </c>
      <c r="O5" s="5">
        <v>-758</v>
      </c>
      <c r="P5" s="5">
        <v>0</v>
      </c>
      <c r="Q5" s="5">
        <v>-12.913</v>
      </c>
      <c r="R5" s="5">
        <v>12.166</v>
      </c>
      <c r="S5" s="5">
        <v>-19</v>
      </c>
      <c r="T5" s="5">
        <v>-4.8360000000000003</v>
      </c>
      <c r="U5" s="5">
        <v>15</v>
      </c>
      <c r="V5" s="5">
        <v>0</v>
      </c>
      <c r="W5" s="5">
        <v>-4.0140000000000002</v>
      </c>
      <c r="X5" s="5">
        <v>-1.837</v>
      </c>
      <c r="Y5" s="5">
        <v>1</v>
      </c>
      <c r="Z5" s="5">
        <v>-143</v>
      </c>
      <c r="AA5" s="5">
        <v>-1.3149999999999999</v>
      </c>
      <c r="AB5" s="5">
        <v>9.8889999999999993</v>
      </c>
      <c r="AC5" s="5">
        <v>8.5739999999999998</v>
      </c>
      <c r="AD5" s="5">
        <v>4.43</v>
      </c>
      <c r="AE5" s="5">
        <v>5.1879999999999997</v>
      </c>
      <c r="AF5" s="5">
        <v>-758</v>
      </c>
      <c r="AG5" s="13">
        <f xml:space="preserve"> Table3[[#This Row],[Operating Cash Flow]]/Table3[[#This Row],[Net Income/Starting Line]]</f>
        <v>0.85808799206086661</v>
      </c>
    </row>
    <row r="6" spans="1:33" ht="19" x14ac:dyDescent="0.25">
      <c r="A6" s="6">
        <v>2021</v>
      </c>
      <c r="B6" s="5">
        <v>5.7270000000000003</v>
      </c>
      <c r="C6" s="5">
        <v>6.657</v>
      </c>
      <c r="D6" s="5">
        <v>797</v>
      </c>
      <c r="E6" s="5">
        <v>-385</v>
      </c>
      <c r="F6" s="5">
        <v>611</v>
      </c>
      <c r="G6" s="5">
        <v>-138</v>
      </c>
      <c r="H6" s="5">
        <v>45</v>
      </c>
      <c r="I6" s="5">
        <v>-1.6060000000000001</v>
      </c>
      <c r="J6" s="5">
        <v>507</v>
      </c>
      <c r="K6" s="5">
        <v>1.3260000000000001</v>
      </c>
      <c r="L6" s="5">
        <v>-182</v>
      </c>
      <c r="M6" s="5">
        <v>0</v>
      </c>
      <c r="N6" s="5">
        <v>-3.8</v>
      </c>
      <c r="O6" s="5">
        <v>-695</v>
      </c>
      <c r="P6" s="5">
        <v>0</v>
      </c>
      <c r="Q6" s="5">
        <v>-9.9610000000000003</v>
      </c>
      <c r="R6" s="5">
        <v>6.6849999999999996</v>
      </c>
      <c r="S6" s="5">
        <v>171</v>
      </c>
      <c r="T6" s="5">
        <v>-1.4590000000000001</v>
      </c>
      <c r="U6" s="5">
        <v>-249</v>
      </c>
      <c r="V6" s="5">
        <v>0</v>
      </c>
      <c r="W6" s="5">
        <v>-608</v>
      </c>
      <c r="X6" s="5">
        <v>-1.6379999999999999</v>
      </c>
      <c r="Y6" s="5">
        <v>1.036</v>
      </c>
      <c r="Z6" s="5">
        <v>143</v>
      </c>
      <c r="AA6" s="5">
        <v>1.5409999999999999</v>
      </c>
      <c r="AB6" s="5">
        <v>8.3480000000000008</v>
      </c>
      <c r="AC6" s="5">
        <v>9.8889999999999993</v>
      </c>
      <c r="AD6" s="5">
        <v>5.9619999999999997</v>
      </c>
      <c r="AE6" s="5">
        <v>6.657</v>
      </c>
      <c r="AF6" s="5">
        <v>-695</v>
      </c>
      <c r="AG6" s="13">
        <f xml:space="preserve"> Table3[[#This Row],[Operating Cash Flow]]/Table3[[#This Row],[Net Income/Starting Line]]</f>
        <v>1.1623886851754845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A9C6-829E-974F-BD41-6A475F6D821B}">
  <dimension ref="A1:C9"/>
  <sheetViews>
    <sheetView workbookViewId="0">
      <selection activeCell="C9" sqref="A1:C9"/>
    </sheetView>
  </sheetViews>
  <sheetFormatPr baseColWidth="10" defaultRowHeight="16" x14ac:dyDescent="0.2"/>
  <sheetData>
    <row r="1" spans="1:3" x14ac:dyDescent="0.2">
      <c r="A1" t="s">
        <v>905</v>
      </c>
      <c r="B1" t="s">
        <v>914</v>
      </c>
      <c r="C1" t="s">
        <v>915</v>
      </c>
    </row>
    <row r="2" spans="1:3" x14ac:dyDescent="0.2">
      <c r="A2">
        <v>2020</v>
      </c>
      <c r="B2">
        <f>'IS ANALYSIS'!B7</f>
        <v>37.402999999999999</v>
      </c>
      <c r="C2" s="31"/>
    </row>
    <row r="3" spans="1:3" x14ac:dyDescent="0.2">
      <c r="A3">
        <v>2021</v>
      </c>
      <c r="B3">
        <f>'IS ANALYSIS'!B6</f>
        <v>44.537999999999997</v>
      </c>
      <c r="C3" s="31"/>
    </row>
    <row r="4" spans="1:3" x14ac:dyDescent="0.2">
      <c r="A4">
        <v>2022</v>
      </c>
      <c r="B4">
        <f>'IS ANALYSIS'!B5</f>
        <v>46.71</v>
      </c>
      <c r="C4" s="31"/>
    </row>
    <row r="5" spans="1:3" x14ac:dyDescent="0.2">
      <c r="A5">
        <v>2023</v>
      </c>
      <c r="B5">
        <f>'IS ANALYSIS'!B4</f>
        <v>51.216999999999999</v>
      </c>
      <c r="C5" s="31"/>
    </row>
    <row r="6" spans="1:3" x14ac:dyDescent="0.2">
      <c r="A6">
        <v>2024</v>
      </c>
      <c r="B6">
        <f>'IS ANALYSIS'!B3</f>
        <v>51.362000000000002</v>
      </c>
      <c r="C6" s="31"/>
    </row>
    <row r="7" spans="1:3" x14ac:dyDescent="0.2">
      <c r="A7">
        <v>2025</v>
      </c>
      <c r="B7">
        <f>'IS ANALYSIS'!B2</f>
        <v>46.308999999999997</v>
      </c>
      <c r="C7" s="31"/>
    </row>
    <row r="8" spans="1:3" x14ac:dyDescent="0.2">
      <c r="A8">
        <v>2026</v>
      </c>
      <c r="B8" s="31"/>
      <c r="C8" s="31">
        <f>_xlfn.FORECAST.LINEAR(A8,B2:B7,A2:A7)</f>
        <v>53.20739999999978</v>
      </c>
    </row>
    <row r="9" spans="1:3" x14ac:dyDescent="0.2">
      <c r="A9">
        <v>2027</v>
      </c>
      <c r="B9" s="31"/>
      <c r="C9" s="31">
        <f>_xlfn.FORECAST.LINEAR(A9,B3:B8,A3:A8)</f>
        <v>51.304799999999886</v>
      </c>
    </row>
  </sheetData>
  <pageMargins left="0.7" right="0.7" top="0.75" bottom="0.75" header="0.3" footer="0.3"/>
  <ignoredErrors>
    <ignoredError sqref="C8:C9" calculatedColumn="1"/>
  </ignoredErrors>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3866F-59E9-2449-BAED-F79945A952F9}">
  <dimension ref="A1:H7"/>
  <sheetViews>
    <sheetView workbookViewId="0">
      <selection activeCell="H3" sqref="H3"/>
    </sheetView>
  </sheetViews>
  <sheetFormatPr baseColWidth="10" defaultRowHeight="16" x14ac:dyDescent="0.2"/>
  <cols>
    <col min="1" max="1" width="14.6640625" customWidth="1"/>
    <col min="2" max="2" width="18.83203125" customWidth="1"/>
    <col min="3" max="3" width="26.5" customWidth="1"/>
    <col min="4" max="4" width="14.83203125" customWidth="1"/>
    <col min="5" max="5" width="17.5" customWidth="1"/>
    <col min="6" max="6" width="13.1640625" customWidth="1"/>
    <col min="7" max="7" width="15.6640625" customWidth="1"/>
  </cols>
  <sheetData>
    <row r="1" spans="1:8" x14ac:dyDescent="0.2">
      <c r="A1" s="1" t="s">
        <v>0</v>
      </c>
      <c r="B1" s="1" t="s">
        <v>564</v>
      </c>
      <c r="C1" s="1" t="s">
        <v>571</v>
      </c>
      <c r="D1" s="1" t="s">
        <v>577</v>
      </c>
      <c r="E1" s="1" t="s">
        <v>585</v>
      </c>
      <c r="F1" s="1" t="s">
        <v>586</v>
      </c>
      <c r="G1" s="1" t="s">
        <v>595</v>
      </c>
      <c r="H1" s="1" t="s">
        <v>596</v>
      </c>
    </row>
    <row r="2" spans="1:8" x14ac:dyDescent="0.2">
      <c r="A2" s="1" t="s">
        <v>558</v>
      </c>
      <c r="B2" s="3">
        <f>_xlfn.NUMBERVALUE('NKE DIVIDENDS'!B9,".",",")</f>
        <v>1.61</v>
      </c>
      <c r="C2">
        <f>_xlfn.NUMBERVALUE('NKE DIVIDENDS'!C9,".",",")</f>
        <v>63.71</v>
      </c>
      <c r="D2" s="14">
        <f>_xlfn.NUMBERVALUE('NKE DIVIDENDS'!D9,".",",")</f>
        <v>2.53E-2</v>
      </c>
      <c r="E2">
        <f>_xlfn.NUMBERVALUE('NKE DIVIDENDS'!E9,".",",")</f>
        <v>2.17</v>
      </c>
      <c r="F2" s="14">
        <f>_xlfn.NUMBERVALUE('NKE DIVIDENDS'!F9,".",",")</f>
        <v>0.7419</v>
      </c>
      <c r="G2" s="3">
        <f>C2/E2</f>
        <v>29.359447004608295</v>
      </c>
      <c r="H2">
        <f>93.52/Table1[[#This Row],[Total Equity]]</f>
        <v>7.0778778475743591</v>
      </c>
    </row>
    <row r="3" spans="1:8" x14ac:dyDescent="0.2">
      <c r="A3" s="1" t="s">
        <v>559</v>
      </c>
      <c r="B3" s="3">
        <f>_xlfn.NUMBERVALUE('NKE DIVIDENDS'!B10,".",",")</f>
        <v>1.51</v>
      </c>
      <c r="C3">
        <f>_xlfn.NUMBERVALUE('NKE DIVIDENDS'!C10,".",",")</f>
        <v>75.67</v>
      </c>
      <c r="D3" s="14">
        <f>_xlfn.NUMBERVALUE('NKE DIVIDENDS'!D10,".",",")</f>
        <v>0.02</v>
      </c>
      <c r="E3">
        <f>_xlfn.NUMBERVALUE('NKE DIVIDENDS'!E10,".",",")</f>
        <v>3.76</v>
      </c>
      <c r="F3" s="14">
        <f>_xlfn.NUMBERVALUE('NKE DIVIDENDS'!F10,".",",")</f>
        <v>0.40159999999999996</v>
      </c>
      <c r="G3" s="3">
        <f t="shared" ref="G3:G7" si="0">C3/E3</f>
        <v>20.125</v>
      </c>
      <c r="H3">
        <f>93.52/Table1[[#This Row],[Total Equity]]</f>
        <v>6.4809424809424812</v>
      </c>
    </row>
    <row r="4" spans="1:8" x14ac:dyDescent="0.2">
      <c r="A4" s="1" t="s">
        <v>560</v>
      </c>
      <c r="B4" s="3">
        <f>_xlfn.NUMBERVALUE('NKE DIVIDENDS'!B11,".",",")</f>
        <v>1.39</v>
      </c>
      <c r="C4">
        <f>_xlfn.NUMBERVALUE('NKE DIVIDENDS'!C11,".",",")</f>
        <v>108.6</v>
      </c>
      <c r="D4" s="14">
        <f>_xlfn.NUMBERVALUE('NKE DIVIDENDS'!D11,".",",")</f>
        <v>1.2800000000000001E-2</v>
      </c>
      <c r="E4">
        <f>_xlfn.NUMBERVALUE('NKE DIVIDENDS'!E11,".",",")</f>
        <v>3.27</v>
      </c>
      <c r="F4" s="14">
        <f>_xlfn.NUMBERVALUE('NKE DIVIDENDS'!F11,".",",")</f>
        <v>0.42509999999999998</v>
      </c>
      <c r="G4" s="3">
        <f t="shared" si="0"/>
        <v>33.211009174311926</v>
      </c>
      <c r="H4">
        <f>93.52/Table1[[#This Row],[Total Equity]]</f>
        <v>6.6780919737217941</v>
      </c>
    </row>
    <row r="5" spans="1:8" x14ac:dyDescent="0.2">
      <c r="A5" s="1" t="s">
        <v>561</v>
      </c>
      <c r="B5" s="3">
        <f>_xlfn.NUMBERVALUE('NKE DIVIDENDS'!B12,".",",")</f>
        <v>1.25</v>
      </c>
      <c r="C5">
        <f>_xlfn.NUMBERVALUE('NKE DIVIDENDS'!C12,".",",")</f>
        <v>117</v>
      </c>
      <c r="D5" s="14">
        <f>_xlfn.NUMBERVALUE('NKE DIVIDENDS'!D12,".",",")</f>
        <v>1.0700000000000001E-2</v>
      </c>
      <c r="E5">
        <f>_xlfn.NUMBERVALUE('NKE DIVIDENDS'!E12,".",",")</f>
        <v>3.83</v>
      </c>
      <c r="F5" s="14">
        <f>_xlfn.NUMBERVALUE('NKE DIVIDENDS'!F12,".",",")</f>
        <v>0.32640000000000002</v>
      </c>
      <c r="G5" s="3">
        <f t="shared" si="0"/>
        <v>30.548302872062663</v>
      </c>
      <c r="H5">
        <f>93.52/Table1[[#This Row],[Total Equity]]</f>
        <v>6.1200183234081535</v>
      </c>
    </row>
    <row r="6" spans="1:8" x14ac:dyDescent="0.2">
      <c r="A6" s="1" t="s">
        <v>562</v>
      </c>
      <c r="B6" s="3">
        <f>_xlfn.NUMBERVALUE('NKE DIVIDENDS'!B13,".",",")</f>
        <v>1.1299999999999999</v>
      </c>
      <c r="C6">
        <f>_xlfn.NUMBERVALUE('NKE DIVIDENDS'!C13,".",",")</f>
        <v>166.7</v>
      </c>
      <c r="D6" s="14">
        <f>_xlfn.NUMBERVALUE('NKE DIVIDENDS'!D13,".",",")</f>
        <v>6.7800000000000004E-3</v>
      </c>
      <c r="E6">
        <f>_xlfn.NUMBERVALUE('NKE DIVIDENDS'!E13,".",",")</f>
        <v>3.64</v>
      </c>
      <c r="F6" s="14">
        <f>_xlfn.NUMBERVALUE('NKE DIVIDENDS'!F13,".",",")</f>
        <v>0.31040000000000001</v>
      </c>
      <c r="G6" s="3">
        <f t="shared" si="0"/>
        <v>45.796703296703292</v>
      </c>
      <c r="H6">
        <f>93.52/Table1[[#This Row],[Total Equity]]</f>
        <v>7.3251351139656924</v>
      </c>
    </row>
    <row r="7" spans="1:8" x14ac:dyDescent="0.2">
      <c r="A7" s="1" t="s">
        <v>563</v>
      </c>
      <c r="B7" s="3">
        <f>_xlfn.NUMBERVALUE('NKE DIVIDENDS'!B14,".",",")</f>
        <v>1.01</v>
      </c>
      <c r="C7">
        <f>_xlfn.NUMBERVALUE('NKE DIVIDENDS'!C14,".",",")</f>
        <v>141.5</v>
      </c>
      <c r="D7" s="14">
        <f>_xlfn.NUMBERVALUE('NKE DIVIDENDS'!D14,".",",")</f>
        <v>7.1399999999999996E-3</v>
      </c>
      <c r="E7">
        <f>_xlfn.NUMBERVALUE('NKE DIVIDENDS'!E14,".",",")</f>
        <v>1.63</v>
      </c>
      <c r="F7" s="14">
        <f>_xlfn.NUMBERVALUE('NKE DIVIDENDS'!F14,".",",")</f>
        <v>0.61960000000000004</v>
      </c>
      <c r="G7" s="3">
        <f t="shared" si="0"/>
        <v>86.809815950920253</v>
      </c>
      <c r="H7">
        <f>93.52/Table1[[#This Row],[Total Equity]]</f>
        <v>11.610180012414649</v>
      </c>
    </row>
  </sheetData>
  <pageMargins left="0.7" right="0.7" top="0.75" bottom="0.75" header="0.3" footer="0.3"/>
  <ignoredErrors>
    <ignoredError sqref="A2:A7" numberStoredAsText="1"/>
  </ignoredErrors>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254A-01BB-9240-BA8B-EC19B692EACE}">
  <dimension ref="A1:B6"/>
  <sheetViews>
    <sheetView workbookViewId="0">
      <selection activeCell="A6" sqref="A6"/>
    </sheetView>
  </sheetViews>
  <sheetFormatPr baseColWidth="10" defaultRowHeight="16" x14ac:dyDescent="0.2"/>
  <cols>
    <col min="1" max="1" width="32.1640625" bestFit="1" customWidth="1"/>
  </cols>
  <sheetData>
    <row r="1" spans="1:2" x14ac:dyDescent="0.2">
      <c r="A1" t="s">
        <v>921</v>
      </c>
      <c r="B1" t="s">
        <v>922</v>
      </c>
    </row>
    <row r="2" spans="1:2" x14ac:dyDescent="0.2">
      <c r="A2" t="s">
        <v>924</v>
      </c>
      <c r="B2">
        <f>GETPIVOTDATA("Amount",'Waterfall Pivot'!$A$3,"Label","Prior Year NI (USD Billions) △")</f>
        <v>6.0460000000000003</v>
      </c>
    </row>
    <row r="3" spans="1:2" x14ac:dyDescent="0.2">
      <c r="A3" t="s">
        <v>925</v>
      </c>
      <c r="B3">
        <f>GETPIVOTDATA("Amount",'Waterfall Pivot'!$A$3,"Label","Rev Change (USD Billions) △")</f>
        <v>4.5069999999999979</v>
      </c>
    </row>
    <row r="4" spans="1:2" x14ac:dyDescent="0.2">
      <c r="A4" t="s">
        <v>916</v>
      </c>
      <c r="B4">
        <f>GETPIVOTDATA("Amount",'Waterfall Pivot'!$A$3,"Label","COGS Efficiency △")</f>
        <v>3.6939999999999991</v>
      </c>
    </row>
    <row r="5" spans="1:2" x14ac:dyDescent="0.2">
      <c r="A5" t="s">
        <v>917</v>
      </c>
      <c r="B5">
        <f>GETPIVOTDATA("Amount",'Waterfall Pivot'!$A$3,"Label","OpEx Efficiency △")</f>
        <v>1.5729999999999986</v>
      </c>
    </row>
    <row r="6" spans="1:2" x14ac:dyDescent="0.2">
      <c r="A6" t="s">
        <v>926</v>
      </c>
      <c r="B6">
        <f>GETPIVOTDATA("Amount",'Waterfall Pivot'!$A$3,"Label","Impact on Current NI (USD Billions) △")</f>
        <v>5.07</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6A9C9-EAC5-E34F-A5A7-0E89DE79E7C5}">
  <dimension ref="A3:C12"/>
  <sheetViews>
    <sheetView topLeftCell="B1" workbookViewId="0">
      <selection activeCell="B4" sqref="B4"/>
    </sheetView>
  </sheetViews>
  <sheetFormatPr baseColWidth="10" defaultRowHeight="16" x14ac:dyDescent="0.2"/>
  <cols>
    <col min="1" max="1" width="13" bestFit="1" customWidth="1"/>
    <col min="2" max="2" width="20" bestFit="1" customWidth="1"/>
    <col min="3" max="3" width="23.1640625" bestFit="1" customWidth="1"/>
  </cols>
  <sheetData>
    <row r="3" spans="1:3" x14ac:dyDescent="0.2">
      <c r="A3" s="34" t="s">
        <v>894</v>
      </c>
      <c r="B3" t="s">
        <v>906</v>
      </c>
      <c r="C3" t="s">
        <v>907</v>
      </c>
    </row>
    <row r="4" spans="1:3" x14ac:dyDescent="0.2">
      <c r="A4" s="35">
        <v>2020</v>
      </c>
      <c r="B4">
        <v>37.402999999999999</v>
      </c>
    </row>
    <row r="5" spans="1:3" x14ac:dyDescent="0.2">
      <c r="A5" s="35">
        <v>2021</v>
      </c>
      <c r="B5">
        <v>44.537999999999997</v>
      </c>
    </row>
    <row r="6" spans="1:3" x14ac:dyDescent="0.2">
      <c r="A6" s="35">
        <v>2022</v>
      </c>
      <c r="B6">
        <v>46.71</v>
      </c>
    </row>
    <row r="7" spans="1:3" x14ac:dyDescent="0.2">
      <c r="A7" s="35">
        <v>2023</v>
      </c>
      <c r="B7">
        <v>51.216999999999999</v>
      </c>
    </row>
    <row r="8" spans="1:3" x14ac:dyDescent="0.2">
      <c r="A8" s="35">
        <v>2024</v>
      </c>
      <c r="B8">
        <v>51.362000000000002</v>
      </c>
    </row>
    <row r="9" spans="1:3" x14ac:dyDescent="0.2">
      <c r="A9" s="35">
        <v>2025</v>
      </c>
      <c r="B9">
        <v>46.308999999999997</v>
      </c>
    </row>
    <row r="10" spans="1:3" x14ac:dyDescent="0.2">
      <c r="A10" s="35">
        <v>2026</v>
      </c>
      <c r="C10">
        <v>53.20739999999978</v>
      </c>
    </row>
    <row r="11" spans="1:3" x14ac:dyDescent="0.2">
      <c r="A11" s="35">
        <v>2027</v>
      </c>
      <c r="C11">
        <v>51.304799999999886</v>
      </c>
    </row>
    <row r="12" spans="1:3" x14ac:dyDescent="0.2">
      <c r="A12" s="35" t="s">
        <v>895</v>
      </c>
      <c r="B12">
        <v>277.53899999999999</v>
      </c>
      <c r="C12">
        <v>104.51219999999967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59A96-88D9-5E4F-B636-46D307F83EB7}">
  <dimension ref="A1:B9"/>
  <sheetViews>
    <sheetView workbookViewId="0">
      <selection activeCell="B7" sqref="B7"/>
    </sheetView>
  </sheetViews>
  <sheetFormatPr baseColWidth="10" defaultRowHeight="16" x14ac:dyDescent="0.2"/>
  <cols>
    <col min="1" max="1" width="32.1640625" bestFit="1" customWidth="1"/>
    <col min="2" max="2" width="13.6640625" bestFit="1" customWidth="1"/>
  </cols>
  <sheetData>
    <row r="1" spans="1:2" x14ac:dyDescent="0.2">
      <c r="A1" s="34" t="s">
        <v>905</v>
      </c>
      <c r="B1" s="35">
        <v>2023</v>
      </c>
    </row>
    <row r="3" spans="1:2" x14ac:dyDescent="0.2">
      <c r="A3" s="34" t="s">
        <v>894</v>
      </c>
      <c r="B3" t="s">
        <v>923</v>
      </c>
    </row>
    <row r="4" spans="1:2" x14ac:dyDescent="0.2">
      <c r="A4" s="35" t="s">
        <v>916</v>
      </c>
      <c r="B4" s="31">
        <v>3.6939999999999991</v>
      </c>
    </row>
    <row r="5" spans="1:2" x14ac:dyDescent="0.2">
      <c r="A5" s="35" t="s">
        <v>920</v>
      </c>
      <c r="B5" s="31">
        <v>5.07</v>
      </c>
    </row>
    <row r="6" spans="1:2" x14ac:dyDescent="0.2">
      <c r="A6" s="35" t="s">
        <v>917</v>
      </c>
      <c r="B6" s="31">
        <v>1.5729999999999986</v>
      </c>
    </row>
    <row r="7" spans="1:2" x14ac:dyDescent="0.2">
      <c r="A7" s="35" t="s">
        <v>919</v>
      </c>
      <c r="B7" s="31">
        <v>6.0460000000000003</v>
      </c>
    </row>
    <row r="8" spans="1:2" x14ac:dyDescent="0.2">
      <c r="A8" s="35" t="s">
        <v>918</v>
      </c>
      <c r="B8" s="31">
        <v>4.5069999999999979</v>
      </c>
    </row>
    <row r="9" spans="1:2" x14ac:dyDescent="0.2">
      <c r="A9" s="35" t="s">
        <v>895</v>
      </c>
      <c r="B9" s="31">
        <v>20.889999999999997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6CB1-BEF7-CE4B-A174-531D68344BED}">
  <dimension ref="A3:D10"/>
  <sheetViews>
    <sheetView workbookViewId="0">
      <selection activeCell="B6" sqref="B6"/>
    </sheetView>
  </sheetViews>
  <sheetFormatPr baseColWidth="10" defaultRowHeight="16" x14ac:dyDescent="0.2"/>
  <cols>
    <col min="1" max="1" width="21.6640625" bestFit="1" customWidth="1"/>
    <col min="2" max="2" width="16" bestFit="1" customWidth="1"/>
    <col min="3" max="3" width="7.1640625" bestFit="1" customWidth="1"/>
    <col min="4" max="4" width="10.5" bestFit="1" customWidth="1"/>
    <col min="5" max="5" width="9.83203125" bestFit="1" customWidth="1"/>
    <col min="6" max="6" width="7.1640625" bestFit="1" customWidth="1"/>
    <col min="7" max="7" width="10.5" bestFit="1" customWidth="1"/>
  </cols>
  <sheetData>
    <row r="3" spans="1:4" x14ac:dyDescent="0.2">
      <c r="A3" s="34" t="s">
        <v>899</v>
      </c>
      <c r="B3" s="34" t="s">
        <v>908</v>
      </c>
    </row>
    <row r="4" spans="1:4" x14ac:dyDescent="0.2">
      <c r="A4" s="34" t="s">
        <v>894</v>
      </c>
      <c r="B4" t="s">
        <v>912</v>
      </c>
      <c r="C4" t="s">
        <v>910</v>
      </c>
      <c r="D4" t="s">
        <v>895</v>
      </c>
    </row>
    <row r="5" spans="1:4" x14ac:dyDescent="0.2">
      <c r="A5" s="35">
        <v>2021</v>
      </c>
      <c r="B5" s="27">
        <v>0.17101680029870608</v>
      </c>
      <c r="C5" s="27">
        <v>0.15575463649018817</v>
      </c>
      <c r="D5" s="27">
        <v>0.32677143678889425</v>
      </c>
    </row>
    <row r="6" spans="1:4" x14ac:dyDescent="0.2">
      <c r="A6" s="35">
        <v>2022</v>
      </c>
      <c r="B6" s="27">
        <v>0.17610939080613619</v>
      </c>
      <c r="C6" s="27">
        <v>0.14290301862556198</v>
      </c>
      <c r="D6" s="27">
        <v>0.31901240943169817</v>
      </c>
    </row>
    <row r="7" spans="1:4" x14ac:dyDescent="0.2">
      <c r="A7" s="35">
        <v>2023</v>
      </c>
      <c r="B7" s="27">
        <v>0.13960863402198936</v>
      </c>
      <c r="C7" s="27">
        <v>0.11548899779370131</v>
      </c>
      <c r="D7" s="27">
        <v>0.25509763181569067</v>
      </c>
    </row>
    <row r="8" spans="1:4" x14ac:dyDescent="0.2">
      <c r="A8" s="35">
        <v>2024</v>
      </c>
      <c r="B8" s="27">
        <v>0.17231078180139098</v>
      </c>
      <c r="C8" s="27">
        <v>0.12287294108484871</v>
      </c>
      <c r="D8" s="27">
        <v>0.29518372288623967</v>
      </c>
    </row>
    <row r="9" spans="1:4" x14ac:dyDescent="0.2">
      <c r="A9" s="35">
        <v>2025</v>
      </c>
      <c r="B9" s="27">
        <v>0.23777035455683124</v>
      </c>
      <c r="C9" s="27">
        <v>7.9941264117126265E-2</v>
      </c>
      <c r="D9" s="27">
        <v>0.31771161867395747</v>
      </c>
    </row>
    <row r="10" spans="1:4" x14ac:dyDescent="0.2">
      <c r="A10" s="35" t="s">
        <v>895</v>
      </c>
      <c r="B10" s="27">
        <v>0.89681596148505394</v>
      </c>
      <c r="C10" s="27">
        <v>0.61696085811142654</v>
      </c>
      <c r="D10" s="27">
        <v>1.5137768195964802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50DF8-4086-854E-93CC-BDF61BB77A1A}">
  <dimension ref="A1:G33"/>
  <sheetViews>
    <sheetView workbookViewId="0">
      <selection activeCell="A8" sqref="A8:C33"/>
    </sheetView>
  </sheetViews>
  <sheetFormatPr baseColWidth="10" defaultRowHeight="16" x14ac:dyDescent="0.2"/>
  <cols>
    <col min="1" max="1" width="23.1640625" bestFit="1" customWidth="1"/>
    <col min="2" max="2" width="14.33203125" bestFit="1" customWidth="1"/>
    <col min="3" max="3" width="17.6640625" customWidth="1"/>
    <col min="4" max="4" width="13.83203125" bestFit="1" customWidth="1"/>
    <col min="5" max="5" width="20" bestFit="1" customWidth="1"/>
    <col min="6" max="6" width="15.1640625" bestFit="1" customWidth="1"/>
    <col min="7" max="7" width="15.1640625" customWidth="1"/>
  </cols>
  <sheetData>
    <row r="1" spans="1:7" x14ac:dyDescent="0.2">
      <c r="A1" t="s">
        <v>546</v>
      </c>
      <c r="B1" t="s">
        <v>562</v>
      </c>
      <c r="C1" t="s">
        <v>561</v>
      </c>
      <c r="D1" t="s">
        <v>560</v>
      </c>
      <c r="E1" t="s">
        <v>559</v>
      </c>
      <c r="F1" t="s">
        <v>558</v>
      </c>
    </row>
    <row r="2" spans="1:7" x14ac:dyDescent="0.2">
      <c r="A2" t="s">
        <v>610</v>
      </c>
      <c r="B2" s="27">
        <f>'IS ANALYSIS'!Y6</f>
        <v>0.15575463649018817</v>
      </c>
      <c r="C2" s="27">
        <f>'IS ANALYSIS'!Y5</f>
        <v>0.14290301862556198</v>
      </c>
      <c r="D2" s="27">
        <f>'IS ANALYSIS'!Y4</f>
        <v>0.11548899779370131</v>
      </c>
      <c r="E2" s="27">
        <f>'IS ANALYSIS'!Y3</f>
        <v>0.12287294108484871</v>
      </c>
      <c r="F2" s="27">
        <f>Table2[[#This Row],[Operating Margin]]</f>
        <v>7.9941264117126265E-2</v>
      </c>
      <c r="G2" s="27"/>
    </row>
    <row r="3" spans="1:7" x14ac:dyDescent="0.2">
      <c r="A3" t="s">
        <v>608</v>
      </c>
      <c r="B3" s="27">
        <f>'Benchmarks analysis'!D9</f>
        <v>9.3529245549590273E-2</v>
      </c>
      <c r="C3" s="27">
        <f>'Benchmarks analysis'!D10</f>
        <v>2.9718804140198125E-2</v>
      </c>
      <c r="D3" s="27">
        <f>'Benchmarks analysis'!D11</f>
        <v>1.2507583889485229E-2</v>
      </c>
      <c r="E3" s="27">
        <f>'Benchmarks analysis'!D12</f>
        <v>5.645399653760081E-2</v>
      </c>
      <c r="F3" s="27">
        <f>'Benchmarks analysis'!D13</f>
        <v>0.78906882591093119</v>
      </c>
      <c r="G3" s="27"/>
    </row>
    <row r="4" spans="1:7" x14ac:dyDescent="0.2">
      <c r="A4" t="s">
        <v>612</v>
      </c>
      <c r="B4" s="27">
        <f>'Benchmarks analysis'!D16</f>
        <v>0.22277408368472268</v>
      </c>
      <c r="C4" s="27">
        <f>'Benchmarks analysis'!D17</f>
        <v>0.2093157629867104</v>
      </c>
      <c r="D4" s="27">
        <f>'Benchmarks analysis'!D18</f>
        <v>0.246439797292963</v>
      </c>
      <c r="E4" s="27">
        <f>'Benchmarks analysis'!D19</f>
        <v>0.23430661056674104</v>
      </c>
      <c r="F4" s="27">
        <f>'Benchmarks analysis'!D20</f>
        <v>0.23885767171283134</v>
      </c>
      <c r="G4" s="27"/>
    </row>
    <row r="5" spans="1:7" x14ac:dyDescent="0.2">
      <c r="A5" t="s">
        <v>609</v>
      </c>
      <c r="B5" s="27">
        <f>'Benchmarks analysis'!D2</f>
        <v>0.186278964107224</v>
      </c>
      <c r="C5" s="27">
        <f>'Benchmarks analysis'!D3</f>
        <v>0.21304139363912419</v>
      </c>
      <c r="D5" s="27">
        <f>'Benchmarks analysis'!D4</f>
        <v>0.16372827025027739</v>
      </c>
      <c r="E5" s="27">
        <f>'Benchmarks analysis'!D5</f>
        <v>0.22174862251793326</v>
      </c>
      <c r="F5" s="27">
        <f>'Benchmarks analysis'!D6</f>
        <v>0.23668303740083113</v>
      </c>
      <c r="G5" s="27"/>
    </row>
    <row r="6" spans="1:7" x14ac:dyDescent="0.2">
      <c r="A6" t="s">
        <v>613</v>
      </c>
      <c r="B6" s="27">
        <f>MEDIAN(B2:B5)</f>
        <v>0.17101680029870608</v>
      </c>
      <c r="C6" s="27">
        <f t="shared" ref="C6:F6" si="0">MEDIAN(C2:C5)</f>
        <v>0.17610939080613619</v>
      </c>
      <c r="D6" s="27">
        <f t="shared" si="0"/>
        <v>0.13960863402198936</v>
      </c>
      <c r="E6" s="27">
        <f t="shared" si="0"/>
        <v>0.17231078180139098</v>
      </c>
      <c r="F6" s="27">
        <f t="shared" si="0"/>
        <v>0.23777035455683124</v>
      </c>
      <c r="G6" s="27"/>
    </row>
    <row r="8" spans="1:7" x14ac:dyDescent="0.2">
      <c r="A8" t="s">
        <v>905</v>
      </c>
      <c r="B8" t="s">
        <v>909</v>
      </c>
      <c r="C8" t="s">
        <v>546</v>
      </c>
    </row>
    <row r="9" spans="1:7" x14ac:dyDescent="0.2">
      <c r="A9">
        <v>2021</v>
      </c>
      <c r="B9" t="s">
        <v>910</v>
      </c>
      <c r="C9" s="27">
        <f>B2</f>
        <v>0.15575463649018817</v>
      </c>
    </row>
    <row r="10" spans="1:7" x14ac:dyDescent="0.2">
      <c r="A10">
        <v>2021</v>
      </c>
      <c r="B10" t="s">
        <v>889</v>
      </c>
      <c r="C10" s="27">
        <f>B3</f>
        <v>9.3529245549590273E-2</v>
      </c>
    </row>
    <row r="11" spans="1:7" x14ac:dyDescent="0.2">
      <c r="A11">
        <v>2021</v>
      </c>
      <c r="B11" t="s">
        <v>611</v>
      </c>
      <c r="C11" s="27">
        <f>B4</f>
        <v>0.22277408368472268</v>
      </c>
    </row>
    <row r="12" spans="1:7" x14ac:dyDescent="0.2">
      <c r="A12">
        <v>2021</v>
      </c>
      <c r="B12" t="s">
        <v>911</v>
      </c>
      <c r="C12" s="27">
        <f>B5</f>
        <v>0.186278964107224</v>
      </c>
    </row>
    <row r="13" spans="1:7" x14ac:dyDescent="0.2">
      <c r="A13">
        <v>2021</v>
      </c>
      <c r="B13" t="s">
        <v>912</v>
      </c>
      <c r="C13" s="27">
        <f>B6</f>
        <v>0.17101680029870608</v>
      </c>
    </row>
    <row r="14" spans="1:7" x14ac:dyDescent="0.2">
      <c r="A14">
        <v>2022</v>
      </c>
      <c r="B14" t="s">
        <v>910</v>
      </c>
      <c r="C14" s="27">
        <f>C2</f>
        <v>0.14290301862556198</v>
      </c>
    </row>
    <row r="15" spans="1:7" x14ac:dyDescent="0.2">
      <c r="A15">
        <v>2022</v>
      </c>
      <c r="B15" t="s">
        <v>889</v>
      </c>
      <c r="C15" s="27">
        <f>C3</f>
        <v>2.9718804140198125E-2</v>
      </c>
    </row>
    <row r="16" spans="1:7" x14ac:dyDescent="0.2">
      <c r="A16">
        <v>2022</v>
      </c>
      <c r="B16" t="s">
        <v>611</v>
      </c>
      <c r="C16" s="27">
        <f>C4</f>
        <v>0.2093157629867104</v>
      </c>
    </row>
    <row r="17" spans="1:3" x14ac:dyDescent="0.2">
      <c r="A17">
        <v>2022</v>
      </c>
      <c r="B17" t="s">
        <v>911</v>
      </c>
      <c r="C17" s="27">
        <f>C5</f>
        <v>0.21304139363912419</v>
      </c>
    </row>
    <row r="18" spans="1:3" x14ac:dyDescent="0.2">
      <c r="A18">
        <v>2022</v>
      </c>
      <c r="B18" t="s">
        <v>912</v>
      </c>
      <c r="C18" s="27">
        <f>C6</f>
        <v>0.17610939080613619</v>
      </c>
    </row>
    <row r="19" spans="1:3" x14ac:dyDescent="0.2">
      <c r="A19">
        <v>2023</v>
      </c>
      <c r="B19" t="s">
        <v>910</v>
      </c>
      <c r="C19" s="27">
        <f>D2</f>
        <v>0.11548899779370131</v>
      </c>
    </row>
    <row r="20" spans="1:3" x14ac:dyDescent="0.2">
      <c r="A20">
        <v>2023</v>
      </c>
      <c r="B20" t="s">
        <v>889</v>
      </c>
      <c r="C20" s="27">
        <f>D3</f>
        <v>1.2507583889485229E-2</v>
      </c>
    </row>
    <row r="21" spans="1:3" x14ac:dyDescent="0.2">
      <c r="A21">
        <v>2023</v>
      </c>
      <c r="B21" t="s">
        <v>611</v>
      </c>
      <c r="C21" s="27">
        <f>D4</f>
        <v>0.246439797292963</v>
      </c>
    </row>
    <row r="22" spans="1:3" x14ac:dyDescent="0.2">
      <c r="A22">
        <v>2023</v>
      </c>
      <c r="B22" t="s">
        <v>911</v>
      </c>
      <c r="C22" s="27">
        <f>D5</f>
        <v>0.16372827025027739</v>
      </c>
    </row>
    <row r="23" spans="1:3" x14ac:dyDescent="0.2">
      <c r="A23">
        <v>2023</v>
      </c>
      <c r="B23" t="s">
        <v>912</v>
      </c>
      <c r="C23" s="27">
        <f>D6</f>
        <v>0.13960863402198936</v>
      </c>
    </row>
    <row r="24" spans="1:3" x14ac:dyDescent="0.2">
      <c r="A24">
        <v>2024</v>
      </c>
      <c r="B24" t="s">
        <v>910</v>
      </c>
      <c r="C24" s="27">
        <f>E2</f>
        <v>0.12287294108484871</v>
      </c>
    </row>
    <row r="25" spans="1:3" x14ac:dyDescent="0.2">
      <c r="A25">
        <v>2024</v>
      </c>
      <c r="B25" t="s">
        <v>889</v>
      </c>
      <c r="C25" s="27">
        <f>E3</f>
        <v>5.645399653760081E-2</v>
      </c>
    </row>
    <row r="26" spans="1:3" x14ac:dyDescent="0.2">
      <c r="A26">
        <v>2024</v>
      </c>
      <c r="B26" t="s">
        <v>611</v>
      </c>
      <c r="C26" s="27">
        <f>E4</f>
        <v>0.23430661056674104</v>
      </c>
    </row>
    <row r="27" spans="1:3" x14ac:dyDescent="0.2">
      <c r="A27">
        <v>2024</v>
      </c>
      <c r="B27" t="s">
        <v>911</v>
      </c>
      <c r="C27" s="27">
        <f>E5</f>
        <v>0.22174862251793326</v>
      </c>
    </row>
    <row r="28" spans="1:3" x14ac:dyDescent="0.2">
      <c r="A28">
        <v>2024</v>
      </c>
      <c r="B28" t="s">
        <v>912</v>
      </c>
      <c r="C28" s="27">
        <f>E6</f>
        <v>0.17231078180139098</v>
      </c>
    </row>
    <row r="29" spans="1:3" x14ac:dyDescent="0.2">
      <c r="A29">
        <v>2025</v>
      </c>
      <c r="B29" t="s">
        <v>910</v>
      </c>
      <c r="C29" s="27">
        <f>F2</f>
        <v>7.9941264117126265E-2</v>
      </c>
    </row>
    <row r="30" spans="1:3" x14ac:dyDescent="0.2">
      <c r="A30">
        <v>2025</v>
      </c>
      <c r="B30" t="s">
        <v>889</v>
      </c>
      <c r="C30" s="27">
        <f>F3</f>
        <v>0.78906882591093119</v>
      </c>
    </row>
    <row r="31" spans="1:3" x14ac:dyDescent="0.2">
      <c r="A31">
        <v>2025</v>
      </c>
      <c r="B31" t="s">
        <v>611</v>
      </c>
      <c r="C31" s="27">
        <f>F4</f>
        <v>0.23885767171283134</v>
      </c>
    </row>
    <row r="32" spans="1:3" x14ac:dyDescent="0.2">
      <c r="A32">
        <v>2025</v>
      </c>
      <c r="B32" t="s">
        <v>911</v>
      </c>
      <c r="C32" s="27">
        <f>F5</f>
        <v>0.23668303740083113</v>
      </c>
    </row>
    <row r="33" spans="1:3" x14ac:dyDescent="0.2">
      <c r="A33">
        <v>2025</v>
      </c>
      <c r="B33" t="s">
        <v>912</v>
      </c>
      <c r="C33" s="27">
        <f>F6</f>
        <v>0.23777035455683124</v>
      </c>
    </row>
  </sheetData>
  <phoneticPr fontId="9" type="noConversion"/>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B56B6-77AC-B242-B389-97F7B0984E32}">
  <dimension ref="A1:Y33"/>
  <sheetViews>
    <sheetView workbookViewId="0">
      <selection activeCell="C29" sqref="C29"/>
    </sheetView>
  </sheetViews>
  <sheetFormatPr baseColWidth="10" defaultColWidth="8.83203125" defaultRowHeight="15" x14ac:dyDescent="0.2"/>
  <cols>
    <col min="1" max="1" width="38.1640625" style="2" bestFit="1" customWidth="1"/>
    <col min="2" max="5" width="8.83203125" style="2"/>
    <col min="6" max="6" width="16.5" style="2" bestFit="1" customWidth="1"/>
    <col min="7" max="7" width="10.83203125" style="2" bestFit="1" customWidth="1"/>
    <col min="8" max="9" width="8.83203125" style="2"/>
    <col min="10" max="10" width="14.6640625" style="2" bestFit="1" customWidth="1"/>
    <col min="11" max="16384" width="8.83203125" style="2"/>
  </cols>
  <sheetData>
    <row r="1" spans="1:25" x14ac:dyDescent="0.2">
      <c r="A1" s="1" t="s">
        <v>0</v>
      </c>
      <c r="B1" s="1" t="s">
        <v>251</v>
      </c>
      <c r="C1" s="1" t="s">
        <v>614</v>
      </c>
      <c r="D1" s="1" t="s">
        <v>615</v>
      </c>
      <c r="E1" s="1" t="s">
        <v>616</v>
      </c>
      <c r="F1" s="1" t="s">
        <v>617</v>
      </c>
      <c r="G1" s="1" t="s">
        <v>618</v>
      </c>
      <c r="H1" s="1"/>
      <c r="I1" s="1"/>
      <c r="J1" s="1"/>
      <c r="K1" s="1"/>
      <c r="L1" s="1"/>
      <c r="M1" s="1"/>
      <c r="N1" s="1"/>
      <c r="O1" s="1"/>
      <c r="P1" s="1"/>
      <c r="Q1" s="1"/>
      <c r="R1" s="1"/>
      <c r="S1" s="1"/>
      <c r="T1" s="1"/>
      <c r="U1" s="1"/>
      <c r="V1" s="1"/>
      <c r="W1" s="1"/>
      <c r="X1" s="1"/>
      <c r="Y1" s="1"/>
    </row>
    <row r="2" spans="1:25" x14ac:dyDescent="0.2">
      <c r="A2" s="1" t="s">
        <v>252</v>
      </c>
      <c r="B2" s="1" t="s">
        <v>619</v>
      </c>
      <c r="C2" s="1" t="s">
        <v>620</v>
      </c>
      <c r="D2" s="1" t="s">
        <v>621</v>
      </c>
      <c r="E2" s="1" t="s">
        <v>622</v>
      </c>
      <c r="F2" s="1" t="s">
        <v>623</v>
      </c>
      <c r="G2" s="1" t="s">
        <v>624</v>
      </c>
      <c r="H2" s="1"/>
      <c r="I2" s="1"/>
      <c r="J2" s="1"/>
      <c r="K2" s="1"/>
      <c r="L2" s="1"/>
      <c r="M2" s="1"/>
      <c r="N2" s="1"/>
      <c r="O2" s="1"/>
      <c r="P2" s="1"/>
      <c r="Q2" s="1"/>
      <c r="R2" s="1"/>
      <c r="S2" s="1"/>
      <c r="T2" s="1"/>
      <c r="U2" s="1"/>
      <c r="V2" s="1"/>
      <c r="W2" s="1"/>
      <c r="X2" s="1"/>
      <c r="Y2" s="1"/>
    </row>
    <row r="3" spans="1:25" x14ac:dyDescent="0.2">
      <c r="A3" s="1" t="s">
        <v>254</v>
      </c>
      <c r="B3" s="1">
        <v>24700</v>
      </c>
      <c r="C3" s="1">
        <v>23683</v>
      </c>
      <c r="D3" s="1">
        <v>21427</v>
      </c>
      <c r="E3" s="1">
        <v>22511</v>
      </c>
      <c r="F3" s="1">
        <v>21234</v>
      </c>
      <c r="G3" s="1">
        <v>19844</v>
      </c>
      <c r="H3" s="1"/>
      <c r="I3" s="1"/>
      <c r="J3" s="1"/>
      <c r="K3" s="1"/>
      <c r="L3" s="1"/>
      <c r="M3" s="1"/>
      <c r="N3" s="1"/>
      <c r="O3" s="1"/>
      <c r="P3" s="1"/>
      <c r="Q3" s="1"/>
      <c r="R3" s="1"/>
      <c r="S3" s="1"/>
      <c r="T3" s="1"/>
      <c r="U3" s="1"/>
      <c r="V3" s="1"/>
      <c r="W3" s="1"/>
      <c r="X3" s="1"/>
      <c r="Y3" s="1"/>
    </row>
    <row r="4" spans="1:25" x14ac:dyDescent="0.2">
      <c r="A4" s="1" t="s">
        <v>262</v>
      </c>
      <c r="B4" s="1">
        <v>12014</v>
      </c>
      <c r="C4" s="1">
        <v>11658</v>
      </c>
      <c r="D4" s="1">
        <v>11244</v>
      </c>
      <c r="E4" s="1">
        <v>11867</v>
      </c>
      <c r="F4" s="1">
        <v>10469</v>
      </c>
      <c r="G4" s="1">
        <v>9990</v>
      </c>
      <c r="H4" s="1"/>
      <c r="I4" s="1"/>
      <c r="J4" s="1"/>
      <c r="K4" s="1"/>
      <c r="L4" s="1"/>
      <c r="M4" s="1"/>
      <c r="N4" s="1"/>
      <c r="O4" s="1"/>
      <c r="P4" s="1"/>
      <c r="Q4" s="1"/>
      <c r="R4" s="1"/>
      <c r="S4" s="1"/>
      <c r="T4" s="1"/>
      <c r="U4" s="1"/>
      <c r="V4" s="1"/>
      <c r="W4" s="1"/>
      <c r="X4" s="1"/>
      <c r="Y4" s="1"/>
    </row>
    <row r="5" spans="1:25" x14ac:dyDescent="0.2">
      <c r="A5" s="1" t="s">
        <v>270</v>
      </c>
      <c r="B5" s="1">
        <v>12686</v>
      </c>
      <c r="C5" s="1">
        <v>12025</v>
      </c>
      <c r="D5" s="1">
        <v>10183</v>
      </c>
      <c r="E5" s="1">
        <v>10644</v>
      </c>
      <c r="F5" s="1">
        <v>10765</v>
      </c>
      <c r="G5" s="1">
        <v>9854</v>
      </c>
      <c r="H5" s="1"/>
      <c r="I5" s="1"/>
      <c r="J5" s="1"/>
      <c r="K5" s="1"/>
      <c r="L5" s="1"/>
      <c r="M5" s="1"/>
      <c r="N5" s="1"/>
      <c r="O5" s="1"/>
      <c r="P5" s="1"/>
      <c r="Q5" s="1"/>
      <c r="R5" s="1"/>
      <c r="S5" s="1"/>
      <c r="T5" s="1"/>
      <c r="U5" s="1"/>
      <c r="V5" s="1"/>
      <c r="W5" s="1"/>
      <c r="X5" s="1"/>
      <c r="Y5" s="1"/>
    </row>
    <row r="6" spans="1:25" x14ac:dyDescent="0.2">
      <c r="A6" s="1" t="s">
        <v>278</v>
      </c>
      <c r="B6" s="1">
        <v>10737</v>
      </c>
      <c r="C6" s="1">
        <v>10688</v>
      </c>
      <c r="D6" s="1">
        <v>9915</v>
      </c>
      <c r="E6" s="1">
        <v>9975</v>
      </c>
      <c r="F6" s="1">
        <v>8779</v>
      </c>
      <c r="G6" s="1">
        <v>9103</v>
      </c>
      <c r="H6" s="1"/>
      <c r="I6" s="1"/>
      <c r="J6" s="1"/>
      <c r="K6" s="1"/>
      <c r="L6" s="1"/>
      <c r="M6" s="1"/>
      <c r="N6" s="1"/>
      <c r="O6" s="1"/>
      <c r="P6" s="1"/>
      <c r="Q6" s="1"/>
      <c r="R6" s="1"/>
      <c r="S6" s="1"/>
      <c r="T6" s="1"/>
      <c r="U6" s="1"/>
      <c r="V6" s="1"/>
      <c r="W6" s="1"/>
      <c r="X6" s="1"/>
      <c r="Y6" s="1"/>
    </row>
    <row r="7" spans="1:25" x14ac:dyDescent="0.2">
      <c r="A7" s="1" t="s">
        <v>287</v>
      </c>
      <c r="B7" s="1" t="s">
        <v>43</v>
      </c>
      <c r="C7" s="1" t="s">
        <v>43</v>
      </c>
      <c r="D7" s="1" t="s">
        <v>625</v>
      </c>
      <c r="E7" s="1" t="s">
        <v>626</v>
      </c>
      <c r="F7" s="1" t="s">
        <v>627</v>
      </c>
      <c r="G7" s="1" t="s">
        <v>299</v>
      </c>
      <c r="H7" s="1"/>
      <c r="I7" s="1"/>
      <c r="J7" s="1"/>
      <c r="K7" s="1"/>
      <c r="L7" s="1"/>
      <c r="M7" s="1"/>
      <c r="N7" s="1"/>
      <c r="O7" s="1"/>
      <c r="P7" s="1"/>
      <c r="Q7" s="1"/>
      <c r="R7" s="1"/>
      <c r="S7" s="1"/>
      <c r="T7" s="1"/>
      <c r="U7" s="1"/>
      <c r="V7" s="1"/>
      <c r="W7" s="1"/>
      <c r="X7" s="1"/>
      <c r="Y7" s="1"/>
    </row>
    <row r="8" spans="1:25" x14ac:dyDescent="0.2">
      <c r="A8" s="1" t="s">
        <v>890</v>
      </c>
      <c r="B8" s="1">
        <v>12954</v>
      </c>
      <c r="C8" s="1">
        <v>10915</v>
      </c>
      <c r="D8" s="1">
        <v>9914</v>
      </c>
      <c r="E8" s="1">
        <v>10015</v>
      </c>
      <c r="F8" s="1">
        <v>8810</v>
      </c>
      <c r="G8" s="1">
        <v>8996</v>
      </c>
      <c r="H8" s="1"/>
      <c r="I8" s="1"/>
      <c r="J8" s="1"/>
      <c r="K8" s="1"/>
      <c r="L8" s="1"/>
      <c r="M8" s="1"/>
      <c r="N8" s="1"/>
      <c r="O8" s="1"/>
      <c r="P8" s="1"/>
      <c r="Q8" s="1"/>
      <c r="R8" s="1"/>
      <c r="S8" s="1"/>
      <c r="T8" s="1"/>
      <c r="U8" s="1"/>
      <c r="V8" s="1"/>
      <c r="W8" s="1"/>
      <c r="X8" s="1"/>
      <c r="Y8" s="1"/>
    </row>
    <row r="9" spans="1:25" x14ac:dyDescent="0.2">
      <c r="A9" s="1" t="s">
        <v>289</v>
      </c>
      <c r="B9" s="1">
        <v>-2217</v>
      </c>
      <c r="C9" s="1" t="s">
        <v>631</v>
      </c>
      <c r="D9" s="1" t="s">
        <v>632</v>
      </c>
      <c r="E9" s="1" t="s">
        <v>633</v>
      </c>
      <c r="F9" s="1" t="s">
        <v>634</v>
      </c>
      <c r="G9" s="1" t="s">
        <v>635</v>
      </c>
      <c r="H9" s="1"/>
      <c r="I9" s="1"/>
      <c r="J9" s="1"/>
      <c r="K9" s="1"/>
      <c r="L9" s="1"/>
      <c r="M9" s="1"/>
      <c r="N9" s="1"/>
      <c r="O9" s="1"/>
      <c r="P9" s="1"/>
      <c r="Q9" s="1"/>
      <c r="R9" s="1"/>
      <c r="S9" s="1"/>
      <c r="T9" s="1"/>
      <c r="U9" s="1"/>
      <c r="V9" s="1"/>
      <c r="W9" s="1"/>
      <c r="X9" s="1"/>
      <c r="Y9" s="1"/>
    </row>
    <row r="10" spans="1:25" x14ac:dyDescent="0.2">
      <c r="A10" s="1" t="s">
        <v>290</v>
      </c>
      <c r="B10" s="1">
        <v>1949</v>
      </c>
      <c r="C10" s="1">
        <v>1337</v>
      </c>
      <c r="D10" s="1" t="s">
        <v>637</v>
      </c>
      <c r="E10" s="1" t="s">
        <v>143</v>
      </c>
      <c r="F10" s="1">
        <v>1986</v>
      </c>
      <c r="G10" s="1" t="s">
        <v>638</v>
      </c>
      <c r="H10" s="1"/>
      <c r="I10" s="1"/>
      <c r="J10" s="1"/>
      <c r="K10" s="1"/>
      <c r="L10" s="1"/>
      <c r="M10" s="1"/>
      <c r="N10" s="1"/>
      <c r="O10" s="1"/>
      <c r="P10" s="1"/>
      <c r="Q10" s="1"/>
      <c r="R10" s="1"/>
      <c r="S10" s="1"/>
      <c r="T10" s="1"/>
      <c r="U10" s="1"/>
      <c r="V10" s="1"/>
      <c r="W10" s="1"/>
      <c r="X10" s="1"/>
      <c r="Y10" s="1"/>
    </row>
    <row r="11" spans="1:25" x14ac:dyDescent="0.2">
      <c r="A11" s="1" t="s">
        <v>297</v>
      </c>
      <c r="B11" s="1" t="s">
        <v>640</v>
      </c>
      <c r="C11" s="1" t="s">
        <v>641</v>
      </c>
      <c r="D11" s="1" t="s">
        <v>642</v>
      </c>
      <c r="E11" s="1" t="s">
        <v>643</v>
      </c>
      <c r="F11" s="1" t="s">
        <v>644</v>
      </c>
      <c r="G11" s="1" t="s">
        <v>645</v>
      </c>
      <c r="H11" s="1"/>
      <c r="I11" s="1"/>
      <c r="J11" s="1"/>
      <c r="K11" s="1"/>
      <c r="L11" s="1"/>
      <c r="M11" s="1"/>
      <c r="N11" s="1"/>
      <c r="O11" s="1"/>
      <c r="P11" s="1"/>
      <c r="Q11" s="1"/>
      <c r="R11" s="1"/>
      <c r="S11" s="1"/>
      <c r="T11" s="1"/>
      <c r="U11" s="1"/>
      <c r="V11" s="1"/>
      <c r="W11" s="1"/>
      <c r="X11" s="1"/>
      <c r="Y11" s="1"/>
    </row>
    <row r="12" spans="1:25" x14ac:dyDescent="0.2">
      <c r="A12" s="1" t="s">
        <v>306</v>
      </c>
      <c r="B12" s="1" t="s">
        <v>647</v>
      </c>
      <c r="C12" s="1" t="s">
        <v>298</v>
      </c>
      <c r="D12" s="1" t="s">
        <v>648</v>
      </c>
      <c r="E12" s="1" t="s">
        <v>649</v>
      </c>
      <c r="F12" s="1" t="s">
        <v>650</v>
      </c>
      <c r="G12" s="1" t="s">
        <v>651</v>
      </c>
      <c r="H12" s="1"/>
      <c r="I12" s="1"/>
      <c r="J12" s="1"/>
      <c r="K12" s="1"/>
      <c r="L12" s="1"/>
      <c r="M12" s="1"/>
      <c r="N12" s="1"/>
      <c r="O12" s="1"/>
      <c r="P12" s="1"/>
      <c r="Q12" s="1"/>
      <c r="R12" s="1"/>
      <c r="S12" s="1"/>
      <c r="T12" s="1"/>
      <c r="U12" s="1"/>
      <c r="V12" s="1"/>
      <c r="W12" s="1"/>
      <c r="X12" s="1"/>
      <c r="Y12" s="1"/>
    </row>
    <row r="13" spans="1:25" x14ac:dyDescent="0.2">
      <c r="A13" s="1" t="s">
        <v>313</v>
      </c>
      <c r="B13" s="1" t="s">
        <v>655</v>
      </c>
      <c r="C13" s="1" t="s">
        <v>656</v>
      </c>
      <c r="D13" s="1" t="s">
        <v>657</v>
      </c>
      <c r="E13" s="1" t="s">
        <v>658</v>
      </c>
      <c r="F13" s="1" t="s">
        <v>659</v>
      </c>
      <c r="G13" s="1" t="s">
        <v>628</v>
      </c>
      <c r="H13" s="1"/>
      <c r="I13" s="1"/>
      <c r="J13" s="1"/>
      <c r="K13" s="1"/>
      <c r="L13" s="1"/>
      <c r="M13" s="1"/>
      <c r="N13" s="1"/>
      <c r="O13" s="1"/>
      <c r="P13" s="1"/>
      <c r="Q13" s="1"/>
      <c r="R13" s="1"/>
      <c r="S13" s="1"/>
      <c r="T13" s="1"/>
      <c r="U13" s="1"/>
      <c r="V13" s="1"/>
      <c r="W13" s="1"/>
      <c r="X13" s="1"/>
      <c r="Y13" s="1"/>
    </row>
    <row r="14" spans="1:25" x14ac:dyDescent="0.2">
      <c r="A14" s="1" t="s">
        <v>317</v>
      </c>
      <c r="B14" s="1" t="s">
        <v>660</v>
      </c>
      <c r="C14" s="1" t="s">
        <v>661</v>
      </c>
      <c r="D14" s="1" t="s">
        <v>662</v>
      </c>
      <c r="E14" s="1" t="s">
        <v>663</v>
      </c>
      <c r="F14" s="1" t="s">
        <v>654</v>
      </c>
      <c r="G14" s="1" t="s">
        <v>646</v>
      </c>
      <c r="H14" s="1"/>
      <c r="I14" s="1"/>
      <c r="J14" s="1"/>
      <c r="K14" s="1"/>
      <c r="L14" s="1"/>
      <c r="M14" s="1"/>
      <c r="N14" s="1"/>
      <c r="O14" s="1"/>
      <c r="P14" s="1"/>
      <c r="Q14" s="1"/>
      <c r="R14" s="1"/>
      <c r="S14" s="1"/>
      <c r="T14" s="1"/>
      <c r="U14" s="1"/>
      <c r="V14" s="1"/>
      <c r="W14" s="1"/>
      <c r="X14" s="1"/>
      <c r="Y14" s="1"/>
    </row>
    <row r="15" spans="1:25" x14ac:dyDescent="0.2">
      <c r="A15" s="1" t="s">
        <v>323</v>
      </c>
      <c r="B15" s="1">
        <v>1695</v>
      </c>
      <c r="C15" s="1">
        <v>1121</v>
      </c>
      <c r="D15" s="1" t="s">
        <v>665</v>
      </c>
      <c r="E15" s="1" t="s">
        <v>666</v>
      </c>
      <c r="F15" s="1">
        <v>1852</v>
      </c>
      <c r="G15" s="1" t="s">
        <v>667</v>
      </c>
      <c r="H15" s="1"/>
      <c r="I15" s="1"/>
      <c r="J15" s="1"/>
      <c r="K15" s="1"/>
      <c r="L15" s="1"/>
      <c r="M15" s="1"/>
      <c r="N15" s="1"/>
      <c r="O15" s="1"/>
      <c r="P15" s="1"/>
      <c r="Q15" s="1"/>
      <c r="R15" s="1"/>
      <c r="S15" s="1"/>
      <c r="T15" s="1"/>
      <c r="U15" s="1"/>
      <c r="V15" s="1"/>
      <c r="W15" s="1"/>
      <c r="X15" s="1"/>
      <c r="Y15" s="1"/>
    </row>
    <row r="16" spans="1:25" x14ac:dyDescent="0.2">
      <c r="A16" s="1" t="s">
        <v>330</v>
      </c>
      <c r="B16" s="1" t="s">
        <v>308</v>
      </c>
      <c r="C16" s="1" t="s">
        <v>309</v>
      </c>
      <c r="D16" s="1" t="s">
        <v>668</v>
      </c>
      <c r="E16" s="1" t="s">
        <v>669</v>
      </c>
      <c r="F16" s="1" t="s">
        <v>670</v>
      </c>
      <c r="G16" s="1" t="s">
        <v>671</v>
      </c>
      <c r="H16" s="1"/>
      <c r="I16" s="1"/>
      <c r="J16" s="1"/>
      <c r="K16" s="1"/>
      <c r="L16" s="1"/>
      <c r="M16" s="1"/>
      <c r="N16" s="1"/>
      <c r="O16" s="1"/>
      <c r="P16" s="1"/>
      <c r="Q16" s="1"/>
      <c r="R16" s="1"/>
      <c r="S16" s="1"/>
      <c r="T16" s="1"/>
      <c r="U16" s="1"/>
      <c r="V16" s="1"/>
      <c r="W16" s="1"/>
      <c r="X16" s="1"/>
      <c r="Y16" s="1"/>
    </row>
    <row r="17" spans="1:25" x14ac:dyDescent="0.2">
      <c r="A17" s="1" t="s">
        <v>338</v>
      </c>
      <c r="B17" s="1" t="s">
        <v>673</v>
      </c>
      <c r="C17" s="1" t="s">
        <v>674</v>
      </c>
      <c r="D17" s="1" t="s">
        <v>652</v>
      </c>
      <c r="E17" s="1" t="s">
        <v>43</v>
      </c>
      <c r="F17" s="1" t="s">
        <v>43</v>
      </c>
      <c r="G17" s="1" t="s">
        <v>664</v>
      </c>
      <c r="H17" s="1"/>
      <c r="I17" s="1"/>
      <c r="J17" s="1"/>
      <c r="K17" s="1"/>
      <c r="L17" s="1"/>
      <c r="M17" s="1"/>
      <c r="N17" s="1"/>
      <c r="O17" s="1"/>
      <c r="P17" s="1"/>
      <c r="Q17" s="1"/>
      <c r="R17" s="1"/>
      <c r="S17" s="1"/>
      <c r="T17" s="1"/>
      <c r="U17" s="1"/>
      <c r="V17" s="1"/>
      <c r="W17" s="1"/>
      <c r="X17" s="1"/>
      <c r="Y17" s="1"/>
    </row>
    <row r="18" spans="1:25" x14ac:dyDescent="0.2">
      <c r="A18" s="1" t="s">
        <v>339</v>
      </c>
      <c r="B18" s="1">
        <v>1219</v>
      </c>
      <c r="C18" s="1" t="s">
        <v>675</v>
      </c>
      <c r="D18" s="1" t="s">
        <v>676</v>
      </c>
      <c r="E18" s="1" t="s">
        <v>677</v>
      </c>
      <c r="F18" s="1">
        <v>1492</v>
      </c>
      <c r="G18" s="1" t="s">
        <v>678</v>
      </c>
      <c r="H18" s="1"/>
      <c r="I18" s="1"/>
      <c r="J18" s="1"/>
      <c r="K18" s="1"/>
      <c r="L18" s="1"/>
      <c r="M18" s="1"/>
      <c r="N18" s="1"/>
      <c r="O18" s="1"/>
      <c r="P18" s="1"/>
      <c r="Q18" s="1"/>
      <c r="R18" s="1"/>
      <c r="S18" s="1"/>
      <c r="T18" s="1"/>
      <c r="U18" s="1"/>
      <c r="V18" s="1"/>
      <c r="W18" s="1"/>
      <c r="X18" s="1"/>
      <c r="Y18" s="1"/>
    </row>
    <row r="19" spans="1:25" x14ac:dyDescent="0.2">
      <c r="A19" s="1" t="s">
        <v>347</v>
      </c>
      <c r="B19" s="1">
        <v>1137</v>
      </c>
      <c r="C19" s="1">
        <v>1171</v>
      </c>
      <c r="D19" s="1" t="s">
        <v>679</v>
      </c>
      <c r="E19" s="1">
        <v>1221</v>
      </c>
      <c r="F19" s="1">
        <v>1142</v>
      </c>
      <c r="G19" s="1">
        <v>1244</v>
      </c>
      <c r="H19" s="1"/>
      <c r="I19" s="1"/>
      <c r="J19" s="1"/>
      <c r="K19" s="1"/>
      <c r="L19" s="1"/>
      <c r="M19" s="1"/>
      <c r="N19" s="1"/>
      <c r="O19" s="1"/>
      <c r="P19" s="1"/>
      <c r="Q19" s="1"/>
      <c r="R19" s="1"/>
      <c r="S19" s="1"/>
      <c r="T19" s="1"/>
      <c r="U19" s="1"/>
      <c r="V19" s="1"/>
      <c r="W19" s="1"/>
      <c r="X19" s="1"/>
      <c r="Y19" s="1"/>
    </row>
    <row r="20" spans="1:25" x14ac:dyDescent="0.2">
      <c r="A20" s="1" t="s">
        <v>356</v>
      </c>
      <c r="B20" s="1">
        <v>3086</v>
      </c>
      <c r="C20" s="1">
        <v>2508</v>
      </c>
      <c r="D20" s="1" t="s">
        <v>680</v>
      </c>
      <c r="E20" s="1">
        <v>1890</v>
      </c>
      <c r="F20" s="1">
        <v>3128</v>
      </c>
      <c r="G20" s="1">
        <v>1995</v>
      </c>
      <c r="H20" s="1"/>
      <c r="I20" s="1"/>
      <c r="J20" s="1"/>
      <c r="K20" s="1"/>
      <c r="L20" s="1"/>
      <c r="M20" s="1"/>
      <c r="N20" s="1"/>
      <c r="O20" s="1"/>
      <c r="P20" s="1"/>
      <c r="Q20" s="1"/>
      <c r="R20" s="1"/>
      <c r="S20" s="1"/>
      <c r="T20" s="1"/>
      <c r="U20" s="1"/>
      <c r="V20" s="1"/>
      <c r="W20" s="1"/>
      <c r="X20" s="1"/>
      <c r="Y20" s="1"/>
    </row>
    <row r="21" spans="1:25" x14ac:dyDescent="0.2">
      <c r="A21" s="1" t="s">
        <v>364</v>
      </c>
      <c r="B21" s="1" t="s">
        <v>681</v>
      </c>
      <c r="C21" s="1" t="s">
        <v>682</v>
      </c>
      <c r="D21" s="1" t="s">
        <v>683</v>
      </c>
      <c r="E21" s="1" t="s">
        <v>684</v>
      </c>
      <c r="F21" s="1" t="s">
        <v>685</v>
      </c>
      <c r="G21" s="1" t="s">
        <v>686</v>
      </c>
      <c r="H21" s="1"/>
      <c r="I21" s="1"/>
      <c r="J21" s="1"/>
      <c r="K21" s="1"/>
      <c r="L21" s="1"/>
      <c r="M21" s="1"/>
      <c r="N21" s="1"/>
      <c r="O21" s="1"/>
      <c r="P21" s="1"/>
      <c r="Q21" s="1"/>
      <c r="R21" s="1"/>
      <c r="S21" s="1"/>
      <c r="T21" s="1"/>
      <c r="U21" s="1"/>
      <c r="V21" s="1"/>
      <c r="W21" s="1"/>
      <c r="X21" s="1"/>
      <c r="Y21" s="1"/>
    </row>
    <row r="22" spans="1:25" x14ac:dyDescent="0.2">
      <c r="A22" s="1" t="s">
        <v>372</v>
      </c>
      <c r="B22" s="1" t="s">
        <v>681</v>
      </c>
      <c r="C22" s="1" t="s">
        <v>682</v>
      </c>
      <c r="D22" s="1" t="s">
        <v>683</v>
      </c>
      <c r="E22" s="1" t="s">
        <v>684</v>
      </c>
      <c r="F22" s="1" t="s">
        <v>685</v>
      </c>
      <c r="G22" s="1" t="s">
        <v>686</v>
      </c>
      <c r="H22" s="1"/>
      <c r="I22" s="1"/>
      <c r="J22" s="1"/>
      <c r="K22" s="1"/>
      <c r="L22" s="1"/>
      <c r="M22" s="1"/>
      <c r="N22" s="1"/>
      <c r="O22" s="1"/>
      <c r="P22" s="1"/>
      <c r="Q22" s="1"/>
      <c r="R22" s="1"/>
      <c r="S22" s="1"/>
      <c r="T22" s="1"/>
      <c r="U22" s="1"/>
      <c r="V22" s="1"/>
      <c r="W22" s="1"/>
      <c r="X22" s="1"/>
      <c r="Y22" s="1"/>
    </row>
    <row r="23" spans="1:25" x14ac:dyDescent="0.2">
      <c r="A23" s="1" t="s">
        <v>379</v>
      </c>
      <c r="B23" s="1" t="s">
        <v>687</v>
      </c>
      <c r="C23" s="1" t="s">
        <v>688</v>
      </c>
      <c r="D23" s="1" t="s">
        <v>688</v>
      </c>
      <c r="E23" s="1" t="s">
        <v>689</v>
      </c>
      <c r="F23" s="1" t="s">
        <v>690</v>
      </c>
      <c r="G23" s="1" t="s">
        <v>691</v>
      </c>
      <c r="H23" s="1"/>
      <c r="I23" s="1"/>
      <c r="J23" s="1"/>
      <c r="K23" s="1"/>
      <c r="L23" s="1"/>
      <c r="M23" s="1"/>
      <c r="N23" s="1"/>
      <c r="O23" s="1"/>
      <c r="P23" s="1"/>
      <c r="Q23" s="1"/>
      <c r="R23" s="1"/>
      <c r="S23" s="1"/>
      <c r="T23" s="1"/>
      <c r="U23" s="1"/>
      <c r="V23" s="1"/>
      <c r="W23" s="1"/>
      <c r="X23" s="1"/>
      <c r="Y23" s="1"/>
    </row>
    <row r="24" spans="1:25" x14ac:dyDescent="0.2">
      <c r="A24" s="1" t="s">
        <v>387</v>
      </c>
      <c r="B24" s="1" t="s">
        <v>687</v>
      </c>
      <c r="C24" s="1" t="s">
        <v>688</v>
      </c>
      <c r="D24" s="1" t="s">
        <v>688</v>
      </c>
      <c r="E24" s="1" t="s">
        <v>689</v>
      </c>
      <c r="F24" s="1" t="s">
        <v>692</v>
      </c>
      <c r="G24" s="1" t="s">
        <v>691</v>
      </c>
      <c r="H24" s="1"/>
      <c r="I24" s="1"/>
      <c r="J24" s="1"/>
      <c r="K24" s="1"/>
      <c r="L24" s="1"/>
      <c r="M24" s="1"/>
      <c r="N24" s="1"/>
      <c r="O24" s="1"/>
      <c r="P24" s="1"/>
      <c r="Q24" s="1"/>
      <c r="R24" s="1"/>
      <c r="S24" s="1"/>
      <c r="T24" s="1"/>
      <c r="U24" s="1"/>
      <c r="V24" s="1"/>
      <c r="W24" s="1"/>
      <c r="X24" s="1"/>
      <c r="Y24" s="1"/>
    </row>
    <row r="27" spans="1:25" x14ac:dyDescent="0.2">
      <c r="A27" s="1" t="s">
        <v>0</v>
      </c>
      <c r="B27" s="1"/>
      <c r="C27" s="1" t="s">
        <v>254</v>
      </c>
      <c r="D27" s="1" t="s">
        <v>262</v>
      </c>
      <c r="E27" s="1" t="s">
        <v>270</v>
      </c>
      <c r="F27" s="1" t="s">
        <v>278</v>
      </c>
      <c r="G27" s="1" t="s">
        <v>287</v>
      </c>
      <c r="H27" s="1" t="s">
        <v>890</v>
      </c>
      <c r="I27" s="1" t="s">
        <v>289</v>
      </c>
      <c r="J27" s="1" t="s">
        <v>290</v>
      </c>
      <c r="K27" s="1" t="s">
        <v>297</v>
      </c>
      <c r="L27" s="1" t="s">
        <v>306</v>
      </c>
      <c r="M27" s="1" t="s">
        <v>313</v>
      </c>
      <c r="N27" s="1" t="s">
        <v>317</v>
      </c>
      <c r="O27" s="1" t="s">
        <v>323</v>
      </c>
      <c r="P27" s="1" t="s">
        <v>330</v>
      </c>
      <c r="Q27" s="1" t="s">
        <v>338</v>
      </c>
      <c r="R27" s="1" t="s">
        <v>339</v>
      </c>
    </row>
    <row r="28" spans="1:25" x14ac:dyDescent="0.2">
      <c r="A28" s="1" t="s">
        <v>251</v>
      </c>
      <c r="B28" s="1"/>
      <c r="C28" s="28">
        <v>2470</v>
      </c>
      <c r="D28" s="1">
        <v>12014</v>
      </c>
      <c r="E28" s="1">
        <v>12686</v>
      </c>
      <c r="F28" s="1">
        <v>10737</v>
      </c>
      <c r="G28" s="1">
        <v>0</v>
      </c>
      <c r="H28" s="1">
        <v>12954</v>
      </c>
      <c r="I28" s="1">
        <v>-2217</v>
      </c>
      <c r="J28" s="1">
        <v>1949</v>
      </c>
      <c r="K28" s="1" t="s">
        <v>640</v>
      </c>
      <c r="L28" s="1" t="s">
        <v>647</v>
      </c>
      <c r="M28" s="1" t="s">
        <v>655</v>
      </c>
      <c r="N28" s="1" t="s">
        <v>660</v>
      </c>
      <c r="O28" s="1">
        <v>1695</v>
      </c>
      <c r="P28" s="1">
        <v>430</v>
      </c>
      <c r="Q28" s="1">
        <v>46</v>
      </c>
      <c r="R28" s="1">
        <v>1219</v>
      </c>
    </row>
    <row r="29" spans="1:25" x14ac:dyDescent="0.2">
      <c r="A29" s="1" t="s">
        <v>614</v>
      </c>
      <c r="B29" s="1"/>
      <c r="C29" s="1">
        <v>23683</v>
      </c>
      <c r="D29" s="1">
        <v>11658</v>
      </c>
      <c r="E29" s="1">
        <v>12025</v>
      </c>
      <c r="F29" s="1">
        <v>10688</v>
      </c>
      <c r="G29" s="1">
        <v>0</v>
      </c>
      <c r="H29" s="1">
        <v>10915</v>
      </c>
      <c r="I29" s="1">
        <v>-227</v>
      </c>
      <c r="J29" s="1">
        <v>1337</v>
      </c>
      <c r="K29" s="1">
        <v>-164</v>
      </c>
      <c r="L29" s="1">
        <v>57</v>
      </c>
      <c r="M29" s="1">
        <v>221</v>
      </c>
      <c r="N29" s="1">
        <v>-52</v>
      </c>
      <c r="O29" s="1">
        <v>1121</v>
      </c>
      <c r="P29" s="1">
        <v>297</v>
      </c>
      <c r="Q29" s="1">
        <v>60</v>
      </c>
      <c r="R29" s="1">
        <v>764</v>
      </c>
    </row>
    <row r="30" spans="1:25" x14ac:dyDescent="0.2">
      <c r="A30" s="1" t="s">
        <v>615</v>
      </c>
      <c r="B30" s="1"/>
      <c r="C30" s="1">
        <v>21427</v>
      </c>
      <c r="D30" s="1">
        <v>11244</v>
      </c>
      <c r="E30" s="1">
        <v>10183</v>
      </c>
      <c r="F30" s="1">
        <v>9915</v>
      </c>
      <c r="G30" s="1">
        <v>151</v>
      </c>
      <c r="H30" s="1">
        <v>9914</v>
      </c>
      <c r="I30" s="1">
        <v>-150</v>
      </c>
      <c r="J30" s="1">
        <v>268</v>
      </c>
      <c r="K30" s="1">
        <v>-121</v>
      </c>
      <c r="L30" s="1">
        <v>39</v>
      </c>
      <c r="M30" s="1">
        <v>160</v>
      </c>
      <c r="N30" s="1">
        <v>-81</v>
      </c>
      <c r="O30" s="1">
        <v>66</v>
      </c>
      <c r="P30" s="1">
        <v>124</v>
      </c>
      <c r="Q30" s="1">
        <v>17</v>
      </c>
      <c r="R30" s="1">
        <v>-75</v>
      </c>
    </row>
    <row r="31" spans="1:25" x14ac:dyDescent="0.2">
      <c r="A31" s="1" t="s">
        <v>616</v>
      </c>
      <c r="B31" s="1"/>
      <c r="C31" s="1">
        <v>22511</v>
      </c>
      <c r="D31" s="1">
        <v>11867</v>
      </c>
      <c r="E31" s="1">
        <v>10644</v>
      </c>
      <c r="F31" s="1">
        <v>9975</v>
      </c>
      <c r="G31" s="1">
        <v>153</v>
      </c>
      <c r="H31" s="1">
        <v>10015</v>
      </c>
      <c r="I31" s="1">
        <v>-193</v>
      </c>
      <c r="J31" s="1">
        <v>669</v>
      </c>
      <c r="K31" s="1">
        <v>-114</v>
      </c>
      <c r="L31" s="1">
        <v>23</v>
      </c>
      <c r="M31" s="1">
        <v>137</v>
      </c>
      <c r="N31" s="1">
        <v>-167</v>
      </c>
      <c r="O31" s="1">
        <v>388</v>
      </c>
      <c r="P31" s="1">
        <v>134</v>
      </c>
      <c r="Q31" s="1">
        <v>0</v>
      </c>
      <c r="R31" s="1">
        <v>254</v>
      </c>
    </row>
    <row r="32" spans="1:25" x14ac:dyDescent="0.2">
      <c r="A32" s="1" t="s">
        <v>617</v>
      </c>
      <c r="B32" s="1"/>
      <c r="C32" s="1">
        <v>21234</v>
      </c>
      <c r="D32" s="1">
        <v>10469</v>
      </c>
      <c r="E32" s="1">
        <v>10765</v>
      </c>
      <c r="F32" s="1">
        <v>8779</v>
      </c>
      <c r="G32" s="1">
        <v>130</v>
      </c>
      <c r="H32" s="1">
        <v>881</v>
      </c>
      <c r="I32" s="1">
        <v>-161</v>
      </c>
      <c r="J32" s="1">
        <v>1986</v>
      </c>
      <c r="K32" s="1">
        <v>-165</v>
      </c>
      <c r="L32" s="1">
        <v>12</v>
      </c>
      <c r="M32" s="1">
        <v>177</v>
      </c>
      <c r="N32" s="1">
        <v>31</v>
      </c>
      <c r="O32" s="1">
        <v>1852</v>
      </c>
      <c r="P32" s="1">
        <v>360</v>
      </c>
      <c r="Q32" s="1">
        <v>0</v>
      </c>
      <c r="R32" s="1">
        <v>1492</v>
      </c>
    </row>
    <row r="33" spans="1:18" x14ac:dyDescent="0.2">
      <c r="A33" s="1" t="s">
        <v>618</v>
      </c>
      <c r="B33" s="1"/>
      <c r="C33" s="1">
        <v>19844</v>
      </c>
      <c r="D33" s="1">
        <v>999</v>
      </c>
      <c r="E33" s="1">
        <v>9854</v>
      </c>
      <c r="F33" s="1">
        <v>9103</v>
      </c>
      <c r="G33" s="1">
        <v>115</v>
      </c>
      <c r="H33" s="1">
        <v>8996</v>
      </c>
      <c r="I33" s="1">
        <v>-8</v>
      </c>
      <c r="J33" s="1">
        <v>751</v>
      </c>
      <c r="K33" s="1">
        <v>-139</v>
      </c>
      <c r="L33" s="1">
        <v>25</v>
      </c>
      <c r="M33" s="1">
        <v>164</v>
      </c>
      <c r="N33" s="1">
        <v>-37</v>
      </c>
      <c r="O33" s="1">
        <v>575</v>
      </c>
      <c r="P33" s="1">
        <v>146</v>
      </c>
      <c r="Q33" s="1">
        <v>-3</v>
      </c>
      <c r="R33" s="1">
        <v>432</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F5391-744B-5A4B-BDA5-23E39F340FD2}">
  <dimension ref="A1:AF24"/>
  <sheetViews>
    <sheetView topLeftCell="G1" workbookViewId="0">
      <selection activeCell="K2" sqref="K2:AA7"/>
    </sheetView>
  </sheetViews>
  <sheetFormatPr baseColWidth="10" defaultColWidth="8.83203125" defaultRowHeight="15" x14ac:dyDescent="0.2"/>
  <cols>
    <col min="1" max="17" width="8.83203125" style="2"/>
    <col min="18" max="18" width="14.6640625" style="2" bestFit="1" customWidth="1"/>
    <col min="19" max="16384" width="8.83203125" style="2"/>
  </cols>
  <sheetData>
    <row r="1" spans="1:32" x14ac:dyDescent="0.2">
      <c r="A1" s="1" t="s">
        <v>0</v>
      </c>
      <c r="B1" s="1" t="s">
        <v>251</v>
      </c>
      <c r="C1" s="1" t="s">
        <v>614</v>
      </c>
      <c r="D1" s="1" t="s">
        <v>615</v>
      </c>
      <c r="E1" s="1" t="s">
        <v>616</v>
      </c>
      <c r="F1" s="1" t="s">
        <v>617</v>
      </c>
      <c r="G1" s="1" t="s">
        <v>618</v>
      </c>
      <c r="H1" s="1"/>
      <c r="I1" s="1"/>
      <c r="J1" s="1" t="s">
        <v>0</v>
      </c>
      <c r="K1" s="1" t="s">
        <v>254</v>
      </c>
      <c r="L1" s="1" t="s">
        <v>262</v>
      </c>
      <c r="M1" s="1" t="s">
        <v>270</v>
      </c>
      <c r="N1" s="1" t="s">
        <v>278</v>
      </c>
      <c r="O1" s="1" t="s">
        <v>287</v>
      </c>
      <c r="P1" s="1" t="s">
        <v>288</v>
      </c>
      <c r="Q1" s="1" t="s">
        <v>289</v>
      </c>
      <c r="R1" s="1" t="s">
        <v>290</v>
      </c>
      <c r="S1" s="1" t="s">
        <v>297</v>
      </c>
      <c r="T1" s="1" t="s">
        <v>306</v>
      </c>
      <c r="U1" s="1" t="s">
        <v>313</v>
      </c>
      <c r="V1" s="1" t="s">
        <v>317</v>
      </c>
      <c r="W1" s="1" t="s">
        <v>323</v>
      </c>
      <c r="X1" s="1" t="s">
        <v>330</v>
      </c>
      <c r="Y1" s="1" t="s">
        <v>338</v>
      </c>
      <c r="Z1" s="1" t="s">
        <v>339</v>
      </c>
      <c r="AA1" s="1" t="s">
        <v>347</v>
      </c>
      <c r="AB1" s="1"/>
      <c r="AC1" s="1"/>
      <c r="AD1" s="1"/>
      <c r="AE1" s="1"/>
      <c r="AF1" s="1"/>
    </row>
    <row r="2" spans="1:32" x14ac:dyDescent="0.2">
      <c r="A2" s="1" t="s">
        <v>252</v>
      </c>
      <c r="B2" s="1" t="s">
        <v>693</v>
      </c>
      <c r="C2" s="1" t="s">
        <v>620</v>
      </c>
      <c r="D2" s="1" t="s">
        <v>621</v>
      </c>
      <c r="E2" s="1" t="s">
        <v>622</v>
      </c>
      <c r="F2" s="1" t="s">
        <v>623</v>
      </c>
      <c r="G2" s="1" t="s">
        <v>624</v>
      </c>
      <c r="H2" s="1"/>
      <c r="I2" s="1"/>
      <c r="J2" s="1" t="s">
        <v>251</v>
      </c>
      <c r="K2" s="1">
        <v>75.635000000000005</v>
      </c>
      <c r="L2" s="1">
        <v>28.795999999999999</v>
      </c>
      <c r="M2" s="1">
        <v>46.838999999999999</v>
      </c>
      <c r="N2" s="1">
        <v>28.773</v>
      </c>
      <c r="O2" s="1">
        <v>72</v>
      </c>
      <c r="P2" s="1">
        <v>31.687000000000001</v>
      </c>
      <c r="Q2" s="1">
        <v>-2.9860000000000002</v>
      </c>
      <c r="R2" s="1">
        <v>18.065999999999999</v>
      </c>
      <c r="S2" s="1">
        <v>1.6759999999999999</v>
      </c>
      <c r="T2" s="1">
        <v>2.302</v>
      </c>
      <c r="U2" s="1">
        <v>626</v>
      </c>
      <c r="V2" s="1">
        <v>2.3730000000000002</v>
      </c>
      <c r="W2" s="1">
        <v>22.114999999999998</v>
      </c>
      <c r="X2" s="1">
        <v>5.4340000000000002</v>
      </c>
      <c r="Y2" s="1">
        <v>1.7749999999999999</v>
      </c>
      <c r="Z2" s="1">
        <v>14.906000000000001</v>
      </c>
      <c r="AA2" s="1">
        <v>5.6429999999999998</v>
      </c>
      <c r="AB2" s="1"/>
      <c r="AC2" s="1"/>
      <c r="AD2" s="1"/>
      <c r="AE2" s="1"/>
      <c r="AF2" s="1"/>
    </row>
    <row r="3" spans="1:32" x14ac:dyDescent="0.2">
      <c r="A3" s="1" t="s">
        <v>254</v>
      </c>
      <c r="B3" s="1" t="s">
        <v>694</v>
      </c>
      <c r="C3" s="1" t="s">
        <v>695</v>
      </c>
      <c r="D3" s="1" t="s">
        <v>696</v>
      </c>
      <c r="E3" s="1" t="s">
        <v>697</v>
      </c>
      <c r="F3" s="1" t="s">
        <v>698</v>
      </c>
      <c r="G3" s="1" t="s">
        <v>699</v>
      </c>
      <c r="H3" s="1"/>
      <c r="I3" s="1"/>
      <c r="J3" s="1" t="s">
        <v>614</v>
      </c>
      <c r="K3" s="1">
        <v>70.825999999999993</v>
      </c>
      <c r="L3" s="1">
        <v>26.794</v>
      </c>
      <c r="M3" s="1">
        <v>44.031999999999996</v>
      </c>
      <c r="N3" s="1">
        <v>27.437000000000001</v>
      </c>
      <c r="O3" s="1">
        <v>0</v>
      </c>
      <c r="P3" s="1">
        <v>29.844999999999999</v>
      </c>
      <c r="Q3" s="1">
        <v>-2.4079999999999999</v>
      </c>
      <c r="R3" s="1">
        <v>16.594999999999999</v>
      </c>
      <c r="S3" s="1">
        <v>1.22</v>
      </c>
      <c r="T3" s="1">
        <v>1.8460000000000001</v>
      </c>
      <c r="U3" s="1">
        <v>626</v>
      </c>
      <c r="V3" s="1">
        <v>4.069</v>
      </c>
      <c r="W3" s="1">
        <v>21.884</v>
      </c>
      <c r="X3" s="1">
        <v>4.8949999999999996</v>
      </c>
      <c r="Y3" s="1">
        <v>1.393</v>
      </c>
      <c r="Z3" s="1">
        <v>15.596</v>
      </c>
      <c r="AA3" s="1">
        <v>5.4710000000000001</v>
      </c>
      <c r="AB3" s="1"/>
      <c r="AC3" s="1"/>
      <c r="AD3" s="1"/>
      <c r="AE3" s="1"/>
      <c r="AF3" s="1"/>
    </row>
    <row r="4" spans="1:32" x14ac:dyDescent="0.2">
      <c r="A4" s="1" t="s">
        <v>262</v>
      </c>
      <c r="B4" s="1" t="s">
        <v>700</v>
      </c>
      <c r="C4" s="1" t="s">
        <v>701</v>
      </c>
      <c r="D4" s="1" t="s">
        <v>702</v>
      </c>
      <c r="E4" s="1" t="s">
        <v>703</v>
      </c>
      <c r="F4" s="1" t="s">
        <v>704</v>
      </c>
      <c r="G4" s="1" t="s">
        <v>705</v>
      </c>
      <c r="H4" s="1"/>
      <c r="I4" s="1"/>
      <c r="J4" s="1" t="s">
        <v>615</v>
      </c>
      <c r="K4" s="1">
        <v>62.356000000000002</v>
      </c>
      <c r="L4" s="1">
        <v>23.327999999999999</v>
      </c>
      <c r="M4" s="1">
        <v>39.027999999999999</v>
      </c>
      <c r="N4" s="1">
        <v>23.661000000000001</v>
      </c>
      <c r="O4" s="1">
        <v>0</v>
      </c>
      <c r="P4" s="1">
        <v>25.366</v>
      </c>
      <c r="Q4" s="1">
        <v>-1.7050000000000001</v>
      </c>
      <c r="R4" s="1">
        <v>15.367000000000001</v>
      </c>
      <c r="S4" s="1">
        <v>949</v>
      </c>
      <c r="T4" s="1">
        <v>1.47</v>
      </c>
      <c r="U4" s="1">
        <v>521</v>
      </c>
      <c r="V4" s="1">
        <v>-676</v>
      </c>
      <c r="W4" s="1">
        <v>15.64</v>
      </c>
      <c r="X4" s="1">
        <v>4.3630000000000004</v>
      </c>
      <c r="Y4" s="1">
        <v>1.0409999999999999</v>
      </c>
      <c r="Z4" s="1">
        <v>10.236000000000001</v>
      </c>
      <c r="AA4" s="1">
        <v>4.9870000000000001</v>
      </c>
      <c r="AB4" s="1"/>
      <c r="AC4" s="1"/>
      <c r="AD4" s="1"/>
      <c r="AE4" s="1"/>
      <c r="AF4" s="1"/>
    </row>
    <row r="5" spans="1:32" x14ac:dyDescent="0.2">
      <c r="A5" s="1" t="s">
        <v>270</v>
      </c>
      <c r="B5" s="1" t="s">
        <v>706</v>
      </c>
      <c r="C5" s="1" t="s">
        <v>707</v>
      </c>
      <c r="D5" s="1" t="s">
        <v>708</v>
      </c>
      <c r="E5" s="1" t="s">
        <v>709</v>
      </c>
      <c r="F5" s="1" t="s">
        <v>710</v>
      </c>
      <c r="G5" s="1" t="s">
        <v>711</v>
      </c>
      <c r="H5" s="1"/>
      <c r="I5" s="1"/>
      <c r="J5" s="1" t="s">
        <v>616</v>
      </c>
      <c r="K5" s="1">
        <v>53.651000000000003</v>
      </c>
      <c r="L5" s="1">
        <v>21.332999999999998</v>
      </c>
      <c r="M5" s="1">
        <v>32.317999999999998</v>
      </c>
      <c r="N5" s="1">
        <v>21.088000000000001</v>
      </c>
      <c r="O5" s="1">
        <v>1.4470000000000001</v>
      </c>
      <c r="P5" s="1">
        <v>23.216000000000001</v>
      </c>
      <c r="Q5" s="1">
        <v>-3.5750000000000002</v>
      </c>
      <c r="R5" s="1">
        <v>11.23</v>
      </c>
      <c r="S5" s="1">
        <v>98</v>
      </c>
      <c r="T5" s="1">
        <v>609</v>
      </c>
      <c r="U5" s="1">
        <v>511</v>
      </c>
      <c r="V5" s="1">
        <v>27</v>
      </c>
      <c r="W5" s="1">
        <v>11.355</v>
      </c>
      <c r="X5" s="1">
        <v>3.11</v>
      </c>
      <c r="Y5" s="1">
        <v>655</v>
      </c>
      <c r="Z5" s="1">
        <v>7.59</v>
      </c>
      <c r="AA5" s="1">
        <v>4.4640000000000004</v>
      </c>
      <c r="AB5" s="1"/>
      <c r="AC5" s="1"/>
      <c r="AD5" s="1"/>
      <c r="AE5" s="1"/>
      <c r="AF5" s="1"/>
    </row>
    <row r="6" spans="1:32" x14ac:dyDescent="0.2">
      <c r="A6" s="1" t="s">
        <v>278</v>
      </c>
      <c r="B6" s="1" t="s">
        <v>712</v>
      </c>
      <c r="C6" s="1" t="s">
        <v>713</v>
      </c>
      <c r="D6" s="1" t="s">
        <v>714</v>
      </c>
      <c r="E6" s="1" t="s">
        <v>715</v>
      </c>
      <c r="F6" s="1" t="s">
        <v>716</v>
      </c>
      <c r="G6" s="1" t="s">
        <v>717</v>
      </c>
      <c r="H6" s="1"/>
      <c r="I6" s="1"/>
      <c r="J6" s="1" t="s">
        <v>617</v>
      </c>
      <c r="K6" s="1">
        <v>49.328000000000003</v>
      </c>
      <c r="L6" s="1">
        <v>18.923999999999999</v>
      </c>
      <c r="M6" s="1">
        <v>30.404</v>
      </c>
      <c r="N6" s="1">
        <v>19.414999999999999</v>
      </c>
      <c r="O6" s="1">
        <v>1.1160000000000001</v>
      </c>
      <c r="P6" s="1">
        <v>20.681000000000001</v>
      </c>
      <c r="Q6" s="1">
        <v>-2.3820000000000001</v>
      </c>
      <c r="R6" s="1">
        <v>10.989000000000001</v>
      </c>
      <c r="S6" s="1">
        <v>-51</v>
      </c>
      <c r="T6" s="1">
        <v>392</v>
      </c>
      <c r="U6" s="1">
        <v>443</v>
      </c>
      <c r="V6" s="1">
        <v>302</v>
      </c>
      <c r="W6" s="1">
        <v>11.24</v>
      </c>
      <c r="X6" s="1">
        <v>3.0209999999999999</v>
      </c>
      <c r="Y6" s="1">
        <v>499</v>
      </c>
      <c r="Z6" s="1">
        <v>7.72</v>
      </c>
      <c r="AA6" s="1">
        <v>3.266</v>
      </c>
      <c r="AB6" s="1"/>
      <c r="AC6" s="1"/>
      <c r="AD6" s="1"/>
      <c r="AE6" s="1"/>
      <c r="AF6" s="1"/>
    </row>
    <row r="7" spans="1:32" x14ac:dyDescent="0.2">
      <c r="A7" s="1" t="s">
        <v>287</v>
      </c>
      <c r="B7" s="1" t="s">
        <v>718</v>
      </c>
      <c r="C7" s="1" t="s">
        <v>43</v>
      </c>
      <c r="D7" s="1" t="s">
        <v>43</v>
      </c>
      <c r="E7" s="1" t="s">
        <v>719</v>
      </c>
      <c r="F7" s="1" t="s">
        <v>720</v>
      </c>
      <c r="G7" s="1" t="s">
        <v>721</v>
      </c>
      <c r="H7" s="1"/>
      <c r="I7" s="1"/>
      <c r="J7" s="1" t="s">
        <v>618</v>
      </c>
      <c r="K7" s="1">
        <v>35.512</v>
      </c>
      <c r="L7" s="1">
        <v>14.861000000000001</v>
      </c>
      <c r="M7" s="1">
        <v>20.651</v>
      </c>
      <c r="N7" s="1">
        <v>11.499000000000001</v>
      </c>
      <c r="O7" s="1">
        <v>871</v>
      </c>
      <c r="P7" s="1">
        <v>12.888</v>
      </c>
      <c r="Q7" s="1">
        <v>-2.2599999999999998</v>
      </c>
      <c r="R7" s="1">
        <v>9.1519999999999992</v>
      </c>
      <c r="S7" s="1">
        <v>-136</v>
      </c>
      <c r="T7" s="1">
        <v>271</v>
      </c>
      <c r="U7" s="1">
        <v>407</v>
      </c>
      <c r="V7" s="1">
        <v>-927</v>
      </c>
      <c r="W7" s="1">
        <v>8.0890000000000004</v>
      </c>
      <c r="X7" s="1">
        <v>2.52</v>
      </c>
      <c r="Y7" s="1">
        <v>407</v>
      </c>
      <c r="Z7" s="1">
        <v>5.1619999999999999</v>
      </c>
      <c r="AA7" s="1">
        <v>2.0790000000000002</v>
      </c>
      <c r="AB7" s="1"/>
      <c r="AC7" s="1"/>
      <c r="AD7" s="1"/>
      <c r="AE7" s="1"/>
      <c r="AF7" s="1"/>
    </row>
    <row r="8" spans="1:32" x14ac:dyDescent="0.2">
      <c r="A8" s="1" t="s">
        <v>288</v>
      </c>
      <c r="B8" s="1" t="s">
        <v>722</v>
      </c>
      <c r="C8" s="1" t="s">
        <v>723</v>
      </c>
      <c r="D8" s="1" t="s">
        <v>724</v>
      </c>
      <c r="E8" s="1" t="s">
        <v>725</v>
      </c>
      <c r="F8" s="1" t="s">
        <v>726</v>
      </c>
      <c r="G8" s="1" t="s">
        <v>727</v>
      </c>
      <c r="H8" s="1"/>
      <c r="I8" s="1"/>
      <c r="J8" s="1"/>
      <c r="K8" s="1"/>
      <c r="L8" s="1"/>
      <c r="M8" s="1"/>
      <c r="N8" s="1"/>
      <c r="O8" s="1"/>
      <c r="P8" s="1"/>
      <c r="Q8" s="1"/>
      <c r="R8" s="1"/>
      <c r="S8" s="1"/>
      <c r="T8" s="1"/>
    </row>
    <row r="9" spans="1:32" x14ac:dyDescent="0.2">
      <c r="A9" s="1" t="s">
        <v>289</v>
      </c>
      <c r="B9" s="1" t="s">
        <v>728</v>
      </c>
      <c r="C9" s="1" t="s">
        <v>729</v>
      </c>
      <c r="D9" s="1" t="s">
        <v>730</v>
      </c>
      <c r="E9" s="1" t="s">
        <v>731</v>
      </c>
      <c r="F9" s="1" t="s">
        <v>732</v>
      </c>
      <c r="G9" s="1" t="s">
        <v>733</v>
      </c>
      <c r="H9" s="1"/>
      <c r="I9" s="1"/>
      <c r="J9" s="1"/>
      <c r="K9" s="1"/>
      <c r="L9" s="1"/>
      <c r="M9" s="1"/>
      <c r="N9" s="1"/>
      <c r="O9" s="1"/>
      <c r="P9" s="1"/>
      <c r="Q9" s="1"/>
      <c r="R9" s="1"/>
      <c r="S9" s="1"/>
      <c r="T9" s="1"/>
    </row>
    <row r="10" spans="1:32" x14ac:dyDescent="0.2">
      <c r="A10" s="1" t="s">
        <v>290</v>
      </c>
      <c r="B10" s="1" t="s">
        <v>734</v>
      </c>
      <c r="C10" s="1" t="s">
        <v>735</v>
      </c>
      <c r="D10" s="1" t="s">
        <v>736</v>
      </c>
      <c r="E10" s="1" t="s">
        <v>737</v>
      </c>
      <c r="F10" s="1" t="s">
        <v>738</v>
      </c>
      <c r="G10" s="1" t="s">
        <v>739</v>
      </c>
      <c r="H10" s="1"/>
      <c r="I10" s="1"/>
      <c r="J10" s="1"/>
      <c r="K10" s="1"/>
      <c r="L10" s="1"/>
      <c r="M10" s="1"/>
      <c r="N10" s="1"/>
      <c r="O10" s="1"/>
      <c r="P10" s="1"/>
      <c r="Q10" s="1"/>
      <c r="R10" s="1"/>
      <c r="S10" s="1"/>
      <c r="T10" s="1"/>
    </row>
    <row r="11" spans="1:32" x14ac:dyDescent="0.2">
      <c r="A11" s="1" t="s">
        <v>297</v>
      </c>
      <c r="B11" s="1" t="s">
        <v>740</v>
      </c>
      <c r="C11" s="1" t="s">
        <v>741</v>
      </c>
      <c r="D11" s="1" t="s">
        <v>639</v>
      </c>
      <c r="E11" s="1" t="s">
        <v>630</v>
      </c>
      <c r="F11" s="1" t="s">
        <v>742</v>
      </c>
      <c r="G11" s="1" t="s">
        <v>743</v>
      </c>
      <c r="H11" s="1"/>
      <c r="I11" s="1"/>
      <c r="J11" s="1"/>
      <c r="K11" s="1"/>
      <c r="L11" s="1"/>
      <c r="M11" s="1"/>
      <c r="N11" s="1"/>
      <c r="O11" s="1"/>
      <c r="P11" s="1"/>
      <c r="Q11" s="1"/>
      <c r="R11" s="1"/>
      <c r="S11" s="1"/>
      <c r="T11" s="1"/>
    </row>
    <row r="12" spans="1:32" x14ac:dyDescent="0.2">
      <c r="A12" s="1" t="s">
        <v>306</v>
      </c>
      <c r="B12" s="1" t="s">
        <v>744</v>
      </c>
      <c r="C12" s="1" t="s">
        <v>745</v>
      </c>
      <c r="D12" s="1" t="s">
        <v>746</v>
      </c>
      <c r="E12" s="1" t="s">
        <v>747</v>
      </c>
      <c r="F12" s="1" t="s">
        <v>748</v>
      </c>
      <c r="G12" s="1" t="s">
        <v>672</v>
      </c>
      <c r="H12" s="1"/>
      <c r="I12" s="1"/>
      <c r="J12" s="1"/>
      <c r="K12" s="1"/>
      <c r="L12" s="1"/>
      <c r="M12" s="1"/>
      <c r="N12" s="1"/>
      <c r="O12" s="1"/>
      <c r="P12" s="1"/>
      <c r="Q12" s="1"/>
      <c r="R12" s="1"/>
      <c r="S12" s="1"/>
      <c r="T12" s="1"/>
    </row>
    <row r="13" spans="1:32" x14ac:dyDescent="0.2">
      <c r="A13" s="1" t="s">
        <v>313</v>
      </c>
      <c r="B13" s="1" t="s">
        <v>749</v>
      </c>
      <c r="C13" s="1" t="s">
        <v>749</v>
      </c>
      <c r="D13" s="1" t="s">
        <v>750</v>
      </c>
      <c r="E13" s="1" t="s">
        <v>93</v>
      </c>
      <c r="F13" s="1" t="s">
        <v>751</v>
      </c>
      <c r="G13" s="1" t="s">
        <v>636</v>
      </c>
      <c r="H13" s="1"/>
      <c r="I13" s="1"/>
      <c r="J13" s="1"/>
      <c r="K13" s="1"/>
      <c r="L13" s="1"/>
      <c r="M13" s="1"/>
      <c r="N13" s="1"/>
      <c r="O13" s="1"/>
      <c r="P13" s="1"/>
      <c r="Q13" s="1"/>
      <c r="R13" s="1"/>
      <c r="S13" s="1"/>
      <c r="T13" s="1"/>
    </row>
    <row r="14" spans="1:32" x14ac:dyDescent="0.2">
      <c r="A14" s="1" t="s">
        <v>317</v>
      </c>
      <c r="B14" s="1" t="s">
        <v>752</v>
      </c>
      <c r="C14" s="1" t="s">
        <v>753</v>
      </c>
      <c r="D14" s="1" t="s">
        <v>754</v>
      </c>
      <c r="E14" s="1" t="s">
        <v>755</v>
      </c>
      <c r="F14" s="1" t="s">
        <v>756</v>
      </c>
      <c r="G14" s="1" t="s">
        <v>757</v>
      </c>
      <c r="H14" s="1"/>
      <c r="I14" s="1"/>
      <c r="J14" s="1"/>
      <c r="K14" s="1"/>
      <c r="L14" s="1"/>
      <c r="M14" s="1"/>
      <c r="N14" s="1"/>
      <c r="O14" s="1"/>
      <c r="P14" s="1"/>
      <c r="Q14" s="1"/>
      <c r="R14" s="1"/>
      <c r="S14" s="1"/>
      <c r="T14" s="1"/>
    </row>
    <row r="15" spans="1:32" x14ac:dyDescent="0.2">
      <c r="A15" s="1" t="s">
        <v>323</v>
      </c>
      <c r="B15" s="1" t="s">
        <v>758</v>
      </c>
      <c r="C15" s="1" t="s">
        <v>759</v>
      </c>
      <c r="D15" s="1" t="s">
        <v>760</v>
      </c>
      <c r="E15" s="1" t="s">
        <v>761</v>
      </c>
      <c r="F15" s="1" t="s">
        <v>762</v>
      </c>
      <c r="G15" s="1" t="s">
        <v>763</v>
      </c>
      <c r="H15" s="1"/>
      <c r="I15" s="1"/>
      <c r="J15" s="1"/>
      <c r="K15" s="1"/>
      <c r="L15" s="1"/>
      <c r="M15" s="1"/>
      <c r="N15" s="1"/>
      <c r="O15" s="1"/>
      <c r="P15" s="1"/>
      <c r="Q15" s="1"/>
      <c r="R15" s="1"/>
      <c r="S15" s="1"/>
      <c r="T15" s="1"/>
    </row>
    <row r="16" spans="1:32" x14ac:dyDescent="0.2">
      <c r="A16" s="1" t="s">
        <v>330</v>
      </c>
      <c r="B16" s="1" t="s">
        <v>764</v>
      </c>
      <c r="C16" s="1" t="s">
        <v>765</v>
      </c>
      <c r="D16" s="1" t="s">
        <v>766</v>
      </c>
      <c r="E16" s="1" t="s">
        <v>767</v>
      </c>
      <c r="F16" s="1" t="s">
        <v>768</v>
      </c>
      <c r="G16" s="1" t="s">
        <v>769</v>
      </c>
      <c r="H16" s="1"/>
      <c r="I16" s="1"/>
      <c r="J16" s="1"/>
      <c r="K16" s="1"/>
      <c r="L16" s="1"/>
      <c r="M16" s="1"/>
      <c r="N16" s="1"/>
      <c r="O16" s="1"/>
      <c r="P16" s="1"/>
      <c r="Q16" s="1"/>
      <c r="R16" s="1"/>
      <c r="S16" s="1"/>
      <c r="T16" s="1"/>
    </row>
    <row r="17" spans="1:20" x14ac:dyDescent="0.2">
      <c r="A17" s="1" t="s">
        <v>338</v>
      </c>
      <c r="B17" s="1" t="s">
        <v>770</v>
      </c>
      <c r="C17" s="1" t="s">
        <v>771</v>
      </c>
      <c r="D17" s="1" t="s">
        <v>772</v>
      </c>
      <c r="E17" s="1" t="s">
        <v>773</v>
      </c>
      <c r="F17" s="1" t="s">
        <v>90</v>
      </c>
      <c r="G17" s="1" t="s">
        <v>636</v>
      </c>
      <c r="H17" s="1"/>
      <c r="I17" s="1"/>
      <c r="J17" s="1"/>
      <c r="K17" s="1"/>
      <c r="L17" s="1"/>
      <c r="M17" s="1"/>
      <c r="N17" s="1"/>
      <c r="O17" s="1"/>
      <c r="P17" s="1"/>
      <c r="Q17" s="1"/>
      <c r="R17" s="1"/>
      <c r="S17" s="1"/>
      <c r="T17" s="1"/>
    </row>
    <row r="18" spans="1:20" x14ac:dyDescent="0.2">
      <c r="A18" s="1" t="s">
        <v>339</v>
      </c>
      <c r="B18" s="1" t="s">
        <v>775</v>
      </c>
      <c r="C18" s="1" t="s">
        <v>776</v>
      </c>
      <c r="D18" s="1" t="s">
        <v>777</v>
      </c>
      <c r="E18" s="1" t="s">
        <v>778</v>
      </c>
      <c r="F18" s="1" t="s">
        <v>779</v>
      </c>
      <c r="G18" s="1" t="s">
        <v>780</v>
      </c>
      <c r="H18" s="1"/>
      <c r="I18" s="1"/>
      <c r="J18" s="1"/>
      <c r="K18" s="1"/>
      <c r="L18" s="1"/>
      <c r="M18" s="1"/>
      <c r="N18" s="1"/>
      <c r="O18" s="1"/>
      <c r="P18" s="1"/>
      <c r="Q18" s="1"/>
      <c r="R18" s="1"/>
      <c r="S18" s="1"/>
      <c r="T18" s="1"/>
    </row>
    <row r="19" spans="1:20" x14ac:dyDescent="0.2">
      <c r="A19" s="1" t="s">
        <v>347</v>
      </c>
      <c r="B19" s="1" t="s">
        <v>781</v>
      </c>
      <c r="C19" s="1" t="s">
        <v>782</v>
      </c>
      <c r="D19" s="1" t="s">
        <v>783</v>
      </c>
      <c r="E19" s="1" t="s">
        <v>784</v>
      </c>
      <c r="F19" s="1" t="s">
        <v>785</v>
      </c>
      <c r="G19" s="1" t="s">
        <v>786</v>
      </c>
      <c r="H19" s="1"/>
      <c r="I19" s="1"/>
      <c r="J19" s="1"/>
      <c r="K19" s="1"/>
      <c r="L19" s="1"/>
      <c r="M19" s="1"/>
      <c r="N19" s="1"/>
      <c r="O19" s="1"/>
      <c r="P19" s="1"/>
      <c r="Q19" s="1"/>
      <c r="R19" s="1"/>
      <c r="S19" s="1"/>
      <c r="T19" s="1"/>
    </row>
    <row r="20" spans="1:20" x14ac:dyDescent="0.2">
      <c r="A20" s="1" t="s">
        <v>356</v>
      </c>
      <c r="B20" s="1" t="s">
        <v>787</v>
      </c>
      <c r="C20" s="1" t="s">
        <v>788</v>
      </c>
      <c r="D20" s="1" t="s">
        <v>789</v>
      </c>
      <c r="E20" s="1" t="s">
        <v>790</v>
      </c>
      <c r="F20" s="1" t="s">
        <v>791</v>
      </c>
      <c r="G20" s="1" t="s">
        <v>792</v>
      </c>
      <c r="H20" s="1"/>
      <c r="I20" s="1"/>
      <c r="J20" s="1"/>
      <c r="K20" s="1"/>
      <c r="L20" s="1"/>
      <c r="M20" s="1"/>
      <c r="N20" s="1"/>
      <c r="O20" s="1"/>
      <c r="P20" s="1"/>
      <c r="Q20" s="1"/>
      <c r="R20" s="1"/>
      <c r="S20" s="1"/>
      <c r="T20" s="1"/>
    </row>
    <row r="21" spans="1:20" x14ac:dyDescent="0.2">
      <c r="A21" s="1" t="s">
        <v>364</v>
      </c>
      <c r="B21" s="1" t="s">
        <v>793</v>
      </c>
      <c r="C21" s="1" t="s">
        <v>794</v>
      </c>
      <c r="D21" s="1" t="s">
        <v>795</v>
      </c>
      <c r="E21" s="1" t="s">
        <v>796</v>
      </c>
      <c r="F21" s="1" t="s">
        <v>797</v>
      </c>
      <c r="G21" s="1" t="s">
        <v>798</v>
      </c>
      <c r="H21" s="1"/>
      <c r="I21" s="1"/>
      <c r="J21" s="1"/>
      <c r="K21" s="1"/>
      <c r="L21" s="1"/>
      <c r="M21" s="1"/>
      <c r="N21" s="1"/>
      <c r="O21" s="1"/>
      <c r="P21" s="1"/>
      <c r="Q21" s="1"/>
      <c r="R21" s="1"/>
      <c r="S21" s="1"/>
      <c r="T21" s="1"/>
    </row>
    <row r="22" spans="1:20" x14ac:dyDescent="0.2">
      <c r="A22" s="1" t="s">
        <v>372</v>
      </c>
      <c r="B22" s="1" t="s">
        <v>799</v>
      </c>
      <c r="C22" s="1" t="s">
        <v>800</v>
      </c>
      <c r="D22" s="1" t="s">
        <v>801</v>
      </c>
      <c r="E22" s="1" t="s">
        <v>802</v>
      </c>
      <c r="F22" s="1" t="s">
        <v>803</v>
      </c>
      <c r="G22" s="1" t="s">
        <v>804</v>
      </c>
      <c r="H22" s="1"/>
      <c r="I22" s="1"/>
      <c r="J22" s="1"/>
      <c r="K22" s="1"/>
      <c r="L22" s="1"/>
      <c r="M22" s="1"/>
      <c r="N22" s="1"/>
      <c r="O22" s="1"/>
      <c r="P22" s="1"/>
      <c r="Q22" s="1"/>
      <c r="R22" s="1"/>
      <c r="S22" s="1"/>
      <c r="T22" s="1"/>
    </row>
    <row r="23" spans="1:20" x14ac:dyDescent="0.2">
      <c r="A23" s="1" t="s">
        <v>379</v>
      </c>
      <c r="B23" s="1" t="s">
        <v>130</v>
      </c>
      <c r="C23" s="1" t="s">
        <v>805</v>
      </c>
      <c r="D23" s="1" t="s">
        <v>806</v>
      </c>
      <c r="E23" s="1" t="s">
        <v>807</v>
      </c>
      <c r="F23" s="1" t="s">
        <v>808</v>
      </c>
      <c r="G23" s="1" t="s">
        <v>808</v>
      </c>
      <c r="H23" s="1"/>
      <c r="I23" s="1"/>
      <c r="J23" s="1"/>
      <c r="K23" s="1"/>
      <c r="L23" s="1"/>
      <c r="M23" s="1"/>
      <c r="N23" s="1"/>
      <c r="O23" s="1"/>
      <c r="P23" s="1"/>
      <c r="Q23" s="1"/>
      <c r="R23" s="1"/>
      <c r="S23" s="1"/>
      <c r="T23" s="1"/>
    </row>
    <row r="24" spans="1:20" x14ac:dyDescent="0.2">
      <c r="A24" s="1" t="s">
        <v>387</v>
      </c>
      <c r="B24" s="1" t="s">
        <v>809</v>
      </c>
      <c r="C24" s="1" t="s">
        <v>810</v>
      </c>
      <c r="D24" s="1" t="s">
        <v>811</v>
      </c>
      <c r="E24" s="1" t="s">
        <v>812</v>
      </c>
      <c r="F24" s="1" t="s">
        <v>813</v>
      </c>
      <c r="G24" s="1" t="s">
        <v>814</v>
      </c>
      <c r="H24" s="1"/>
      <c r="I24" s="1"/>
      <c r="J24" s="1"/>
      <c r="K24" s="1"/>
      <c r="L24" s="1"/>
      <c r="M24" s="1"/>
      <c r="N24" s="1"/>
      <c r="O24" s="1"/>
      <c r="P24" s="1"/>
      <c r="Q24" s="1"/>
      <c r="R24" s="1"/>
      <c r="S24" s="1"/>
      <c r="T24" s="1"/>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9861-3935-FD46-89A9-43938A8C4EEF}">
  <dimension ref="A1:AF24"/>
  <sheetViews>
    <sheetView topLeftCell="F1" workbookViewId="0">
      <selection activeCell="P1" sqref="P1"/>
    </sheetView>
  </sheetViews>
  <sheetFormatPr baseColWidth="10" defaultColWidth="8.83203125" defaultRowHeight="15" x14ac:dyDescent="0.2"/>
  <cols>
    <col min="1" max="7" width="8.83203125" style="2"/>
    <col min="8" max="8" width="10.83203125" style="2" bestFit="1" customWidth="1"/>
    <col min="9" max="10" width="8.83203125" style="2"/>
    <col min="11" max="11" width="7.5" style="2" bestFit="1" customWidth="1"/>
    <col min="12" max="17" width="8.83203125" style="2"/>
    <col min="18" max="18" width="14.6640625" style="2" bestFit="1" customWidth="1"/>
    <col min="19" max="16384" width="8.83203125" style="2"/>
  </cols>
  <sheetData>
    <row r="1" spans="1:32" x14ac:dyDescent="0.2">
      <c r="A1" s="1" t="s">
        <v>0</v>
      </c>
      <c r="B1" s="1" t="s">
        <v>251</v>
      </c>
      <c r="C1" s="1" t="s">
        <v>815</v>
      </c>
      <c r="D1" s="1" t="s">
        <v>816</v>
      </c>
      <c r="E1" s="1" t="s">
        <v>817</v>
      </c>
      <c r="F1" s="1" t="s">
        <v>818</v>
      </c>
      <c r="G1" s="1" t="s">
        <v>819</v>
      </c>
      <c r="H1" s="1" t="s">
        <v>820</v>
      </c>
      <c r="I1" s="1"/>
      <c r="J1" s="1" t="s">
        <v>0</v>
      </c>
      <c r="K1" s="1" t="s">
        <v>254</v>
      </c>
      <c r="L1" s="1" t="s">
        <v>262</v>
      </c>
      <c r="M1" s="1" t="s">
        <v>270</v>
      </c>
      <c r="N1" s="1" t="s">
        <v>278</v>
      </c>
      <c r="O1" s="1" t="s">
        <v>287</v>
      </c>
      <c r="P1" s="1" t="s">
        <v>890</v>
      </c>
      <c r="Q1" s="1" t="s">
        <v>289</v>
      </c>
      <c r="R1" s="1" t="s">
        <v>290</v>
      </c>
      <c r="S1" s="1" t="s">
        <v>297</v>
      </c>
      <c r="T1" s="1" t="s">
        <v>306</v>
      </c>
      <c r="U1" s="1" t="s">
        <v>313</v>
      </c>
      <c r="V1" s="1" t="s">
        <v>317</v>
      </c>
      <c r="W1" s="1" t="s">
        <v>323</v>
      </c>
      <c r="X1" s="1" t="s">
        <v>330</v>
      </c>
      <c r="Y1" s="1" t="s">
        <v>338</v>
      </c>
      <c r="Z1" s="1" t="s">
        <v>339</v>
      </c>
      <c r="AA1" s="1"/>
      <c r="AB1" s="1"/>
      <c r="AC1" s="1"/>
      <c r="AD1" s="1"/>
      <c r="AE1" s="1"/>
      <c r="AF1" s="1"/>
    </row>
    <row r="2" spans="1:32" x14ac:dyDescent="0.2">
      <c r="A2" s="1" t="s">
        <v>252</v>
      </c>
      <c r="B2" s="1" t="s">
        <v>821</v>
      </c>
      <c r="C2" s="1" t="s">
        <v>822</v>
      </c>
      <c r="D2" s="1" t="s">
        <v>823</v>
      </c>
      <c r="E2" s="1" t="s">
        <v>824</v>
      </c>
      <c r="F2" s="1" t="s">
        <v>825</v>
      </c>
      <c r="G2" s="1" t="s">
        <v>826</v>
      </c>
      <c r="H2" s="1" t="s">
        <v>827</v>
      </c>
      <c r="I2" s="1"/>
      <c r="J2" s="1" t="s">
        <v>251</v>
      </c>
      <c r="K2" s="1">
        <v>11073</v>
      </c>
      <c r="L2" s="1">
        <v>4605</v>
      </c>
      <c r="M2" s="1">
        <v>6468</v>
      </c>
      <c r="N2" s="1">
        <v>4019</v>
      </c>
      <c r="O2" s="1">
        <v>0</v>
      </c>
      <c r="P2" s="1">
        <v>4021</v>
      </c>
      <c r="Q2" s="1" t="s">
        <v>828</v>
      </c>
      <c r="R2" s="1">
        <v>2449</v>
      </c>
      <c r="S2" s="1">
        <v>0</v>
      </c>
      <c r="T2" s="1">
        <v>0</v>
      </c>
      <c r="U2" s="1">
        <v>0</v>
      </c>
      <c r="V2" s="1" t="s">
        <v>836</v>
      </c>
      <c r="W2" s="1">
        <v>2483</v>
      </c>
      <c r="X2" s="1" t="s">
        <v>845</v>
      </c>
      <c r="Y2" s="1">
        <v>0</v>
      </c>
      <c r="Z2" s="1">
        <v>1741</v>
      </c>
      <c r="AA2" s="1"/>
      <c r="AB2" s="1"/>
      <c r="AC2" s="1"/>
      <c r="AD2" s="1"/>
      <c r="AE2" s="1"/>
      <c r="AF2" s="1"/>
    </row>
    <row r="3" spans="1:32" x14ac:dyDescent="0.2">
      <c r="A3" s="1" t="s">
        <v>254</v>
      </c>
      <c r="B3" s="1">
        <v>11073</v>
      </c>
      <c r="C3" s="1">
        <v>10588</v>
      </c>
      <c r="D3" s="1">
        <v>9619</v>
      </c>
      <c r="E3" s="1">
        <v>8111</v>
      </c>
      <c r="F3" s="1">
        <v>6257</v>
      </c>
      <c r="G3" s="1">
        <v>4402</v>
      </c>
      <c r="H3" s="1">
        <v>3979</v>
      </c>
      <c r="I3" s="1"/>
      <c r="J3" s="1" t="s">
        <v>815</v>
      </c>
      <c r="K3" s="1">
        <v>10588</v>
      </c>
      <c r="L3" s="1">
        <v>4317</v>
      </c>
      <c r="M3" s="1">
        <v>6271</v>
      </c>
      <c r="N3" s="1">
        <v>3765</v>
      </c>
      <c r="O3" s="1">
        <v>0</v>
      </c>
      <c r="P3" s="1">
        <v>3762</v>
      </c>
      <c r="Q3" s="1" t="s">
        <v>829</v>
      </c>
      <c r="R3" s="1">
        <v>2506</v>
      </c>
      <c r="S3" s="1">
        <v>0</v>
      </c>
      <c r="T3" s="1">
        <v>0</v>
      </c>
      <c r="U3" s="1">
        <v>0</v>
      </c>
      <c r="V3" s="1" t="s">
        <v>837</v>
      </c>
      <c r="W3" s="1">
        <v>2576</v>
      </c>
      <c r="X3" s="1" t="s">
        <v>846</v>
      </c>
      <c r="Y3" s="1">
        <v>0</v>
      </c>
      <c r="Z3" s="1">
        <v>1815</v>
      </c>
      <c r="AA3" s="1"/>
      <c r="AB3" s="1"/>
      <c r="AC3" s="1"/>
      <c r="AD3" s="1"/>
      <c r="AE3" s="1"/>
      <c r="AF3" s="1"/>
    </row>
    <row r="4" spans="1:32" x14ac:dyDescent="0.2">
      <c r="A4" s="1" t="s">
        <v>262</v>
      </c>
      <c r="B4" s="1">
        <v>4605</v>
      </c>
      <c r="C4" s="1">
        <v>4317</v>
      </c>
      <c r="D4" s="1">
        <v>4010</v>
      </c>
      <c r="E4" s="1">
        <v>3618</v>
      </c>
      <c r="F4" s="1">
        <v>2648</v>
      </c>
      <c r="G4" s="1">
        <v>1938</v>
      </c>
      <c r="H4" s="1">
        <v>1756</v>
      </c>
      <c r="I4" s="1"/>
      <c r="J4" s="1" t="s">
        <v>816</v>
      </c>
      <c r="K4" s="1">
        <v>9619</v>
      </c>
      <c r="L4" s="1">
        <v>401</v>
      </c>
      <c r="M4" s="1">
        <v>5609</v>
      </c>
      <c r="N4" s="1">
        <v>3477</v>
      </c>
      <c r="O4" s="1">
        <v>0</v>
      </c>
      <c r="P4" s="1">
        <v>3397</v>
      </c>
      <c r="Q4" s="1" t="s">
        <v>830</v>
      </c>
      <c r="R4" s="1">
        <v>2133</v>
      </c>
      <c r="S4" s="1">
        <v>0</v>
      </c>
      <c r="T4" s="1">
        <v>0</v>
      </c>
      <c r="U4" s="1">
        <v>0</v>
      </c>
      <c r="V4" s="1" t="s">
        <v>838</v>
      </c>
      <c r="W4" s="1">
        <v>2176</v>
      </c>
      <c r="X4" s="1" t="s">
        <v>847</v>
      </c>
      <c r="Y4" s="1">
        <v>0</v>
      </c>
      <c r="Z4" s="1">
        <v>155</v>
      </c>
      <c r="AA4" s="1"/>
      <c r="AB4" s="1"/>
      <c r="AC4" s="1"/>
      <c r="AD4" s="1"/>
      <c r="AE4" s="1"/>
      <c r="AF4" s="1"/>
    </row>
    <row r="5" spans="1:32" x14ac:dyDescent="0.2">
      <c r="A5" s="1" t="s">
        <v>270</v>
      </c>
      <c r="B5" s="1">
        <v>6468</v>
      </c>
      <c r="C5" s="1">
        <v>6271</v>
      </c>
      <c r="D5" s="1">
        <v>5609</v>
      </c>
      <c r="E5" s="1">
        <v>4492</v>
      </c>
      <c r="F5" s="1">
        <v>3609</v>
      </c>
      <c r="G5" s="1">
        <v>2464</v>
      </c>
      <c r="H5" s="1">
        <v>2223</v>
      </c>
      <c r="I5" s="1"/>
      <c r="J5" s="1" t="s">
        <v>817</v>
      </c>
      <c r="K5" s="1">
        <v>8111</v>
      </c>
      <c r="L5" s="1">
        <v>3618</v>
      </c>
      <c r="M5" s="1">
        <v>4492</v>
      </c>
      <c r="N5" s="1">
        <v>3164</v>
      </c>
      <c r="O5" s="1">
        <v>0</v>
      </c>
      <c r="P5" s="1">
        <v>2757</v>
      </c>
      <c r="Q5" s="1" t="s">
        <v>831</v>
      </c>
      <c r="R5" s="1">
        <v>1328</v>
      </c>
      <c r="S5" s="1">
        <v>0</v>
      </c>
      <c r="T5" s="1">
        <v>0</v>
      </c>
      <c r="U5" s="1">
        <v>0</v>
      </c>
      <c r="V5" s="1" t="s">
        <v>839</v>
      </c>
      <c r="W5" s="1">
        <v>1333</v>
      </c>
      <c r="X5" s="1" t="s">
        <v>848</v>
      </c>
      <c r="Y5" s="1">
        <v>0</v>
      </c>
      <c r="Z5" s="1" t="s">
        <v>852</v>
      </c>
      <c r="AA5" s="1"/>
      <c r="AB5" s="1"/>
      <c r="AC5" s="1"/>
      <c r="AD5" s="1"/>
      <c r="AE5" s="1"/>
      <c r="AF5" s="1"/>
    </row>
    <row r="6" spans="1:32" x14ac:dyDescent="0.2">
      <c r="A6" s="1" t="s">
        <v>278</v>
      </c>
      <c r="B6" s="1">
        <v>4019</v>
      </c>
      <c r="C6" s="1">
        <v>3765</v>
      </c>
      <c r="D6" s="1">
        <v>3477</v>
      </c>
      <c r="E6" s="1">
        <v>3164</v>
      </c>
      <c r="F6" s="1">
        <v>2275</v>
      </c>
      <c r="G6" s="1">
        <v>1644</v>
      </c>
      <c r="H6" s="1">
        <v>1334</v>
      </c>
      <c r="I6" s="1"/>
      <c r="J6" s="1" t="s">
        <v>818</v>
      </c>
      <c r="K6" s="1">
        <v>6257</v>
      </c>
      <c r="L6" s="1">
        <v>2648</v>
      </c>
      <c r="M6" s="1">
        <v>3609</v>
      </c>
      <c r="N6" s="1">
        <v>2275</v>
      </c>
      <c r="O6" s="1">
        <v>0</v>
      </c>
      <c r="P6" s="1">
        <v>2225</v>
      </c>
      <c r="Q6" s="1" t="s">
        <v>832</v>
      </c>
      <c r="R6" s="1">
        <v>1333</v>
      </c>
      <c r="S6" s="1">
        <v>0</v>
      </c>
      <c r="T6" s="1">
        <v>0</v>
      </c>
      <c r="U6" s="1">
        <v>0</v>
      </c>
      <c r="V6" s="1" t="s">
        <v>840</v>
      </c>
      <c r="W6" s="1">
        <v>1334</v>
      </c>
      <c r="X6" s="1" t="s">
        <v>849</v>
      </c>
      <c r="Y6" s="1">
        <v>0</v>
      </c>
      <c r="Z6" s="1" t="s">
        <v>853</v>
      </c>
      <c r="AA6" s="1"/>
      <c r="AB6" s="1"/>
      <c r="AC6" s="1"/>
      <c r="AD6" s="1"/>
      <c r="AE6" s="1"/>
      <c r="AF6" s="1"/>
    </row>
    <row r="7" spans="1:32" x14ac:dyDescent="0.2">
      <c r="A7" s="1" t="s">
        <v>287</v>
      </c>
      <c r="B7" s="1" t="s">
        <v>43</v>
      </c>
      <c r="C7" s="1" t="s">
        <v>43</v>
      </c>
      <c r="D7" s="1" t="s">
        <v>43</v>
      </c>
      <c r="E7" s="1" t="s">
        <v>43</v>
      </c>
      <c r="F7" s="1" t="s">
        <v>43</v>
      </c>
      <c r="G7" s="1" t="s">
        <v>43</v>
      </c>
      <c r="H7" s="1" t="s">
        <v>43</v>
      </c>
      <c r="I7" s="1"/>
      <c r="J7" s="1" t="s">
        <v>819</v>
      </c>
      <c r="K7" s="1">
        <v>4402</v>
      </c>
      <c r="L7" s="1">
        <v>1938</v>
      </c>
      <c r="M7" s="1">
        <v>2464</v>
      </c>
      <c r="N7" s="1">
        <v>1644</v>
      </c>
      <c r="O7" s="1">
        <v>0</v>
      </c>
      <c r="P7" s="1">
        <v>1609</v>
      </c>
      <c r="Q7" s="1">
        <v>35</v>
      </c>
      <c r="R7" s="1">
        <v>820</v>
      </c>
      <c r="S7" s="1">
        <v>0</v>
      </c>
      <c r="T7" s="1">
        <v>0</v>
      </c>
      <c r="U7" s="1">
        <v>0</v>
      </c>
      <c r="V7" s="1" t="s">
        <v>841</v>
      </c>
      <c r="W7" s="1" t="s">
        <v>843</v>
      </c>
      <c r="X7" s="1" t="s">
        <v>850</v>
      </c>
      <c r="Y7" s="1">
        <v>0</v>
      </c>
      <c r="Z7" s="1" t="s">
        <v>854</v>
      </c>
      <c r="AA7" s="1"/>
      <c r="AB7" s="1"/>
      <c r="AC7" s="1"/>
      <c r="AD7" s="1"/>
      <c r="AE7" s="1"/>
      <c r="AF7" s="1"/>
    </row>
    <row r="8" spans="1:32" x14ac:dyDescent="0.2">
      <c r="A8" s="1" t="s">
        <v>890</v>
      </c>
      <c r="B8" s="1">
        <v>4021</v>
      </c>
      <c r="C8" s="1">
        <v>3762</v>
      </c>
      <c r="D8" s="1">
        <v>3397</v>
      </c>
      <c r="E8" s="1">
        <v>2757</v>
      </c>
      <c r="F8" s="1">
        <v>2225</v>
      </c>
      <c r="G8" s="1">
        <v>1609</v>
      </c>
      <c r="H8" s="1">
        <v>1334</v>
      </c>
      <c r="I8" s="1"/>
      <c r="J8" s="1" t="s">
        <v>820</v>
      </c>
      <c r="K8" s="1">
        <v>3979</v>
      </c>
      <c r="L8" s="1">
        <v>1756</v>
      </c>
      <c r="M8" s="1">
        <v>2223</v>
      </c>
      <c r="N8" s="1">
        <v>1334</v>
      </c>
      <c r="O8" s="1">
        <v>0</v>
      </c>
      <c r="P8" s="1">
        <v>1334</v>
      </c>
      <c r="Q8" s="1" t="s">
        <v>833</v>
      </c>
      <c r="R8" s="1" t="s">
        <v>835</v>
      </c>
      <c r="S8" s="1">
        <v>0</v>
      </c>
      <c r="T8" s="1">
        <v>0</v>
      </c>
      <c r="U8" s="1">
        <v>0</v>
      </c>
      <c r="V8" s="1" t="s">
        <v>842</v>
      </c>
      <c r="W8" s="1" t="s">
        <v>844</v>
      </c>
      <c r="X8" s="1" t="s">
        <v>851</v>
      </c>
      <c r="Y8" s="1">
        <v>0</v>
      </c>
      <c r="Z8" s="1" t="s">
        <v>855</v>
      </c>
      <c r="AA8" s="1"/>
      <c r="AB8" s="1"/>
      <c r="AC8" s="1"/>
      <c r="AD8" s="1"/>
      <c r="AE8" s="1"/>
      <c r="AF8" s="1"/>
    </row>
    <row r="9" spans="1:32" x14ac:dyDescent="0.2">
      <c r="A9" s="1" t="s">
        <v>289</v>
      </c>
      <c r="B9" s="1" t="s">
        <v>828</v>
      </c>
      <c r="C9" s="1" t="s">
        <v>829</v>
      </c>
      <c r="D9" s="1" t="s">
        <v>830</v>
      </c>
      <c r="E9" s="1" t="s">
        <v>831</v>
      </c>
      <c r="F9" s="1" t="s">
        <v>832</v>
      </c>
      <c r="G9" s="1" t="s">
        <v>653</v>
      </c>
      <c r="H9" s="1" t="s">
        <v>833</v>
      </c>
      <c r="I9" s="1"/>
      <c r="J9" s="1"/>
      <c r="K9" s="1"/>
      <c r="L9" s="1"/>
      <c r="M9" s="1"/>
      <c r="N9" s="1"/>
      <c r="O9" s="1"/>
      <c r="P9" s="1"/>
      <c r="Q9" s="1"/>
      <c r="R9" s="1"/>
      <c r="S9" s="1"/>
      <c r="T9" s="1"/>
      <c r="U9" s="1"/>
      <c r="V9" s="1"/>
      <c r="W9" s="1"/>
    </row>
    <row r="10" spans="1:32" x14ac:dyDescent="0.2">
      <c r="A10" s="1" t="s">
        <v>290</v>
      </c>
      <c r="B10" s="1">
        <v>2449</v>
      </c>
      <c r="C10" s="1">
        <v>2506</v>
      </c>
      <c r="D10" s="1">
        <v>2133</v>
      </c>
      <c r="E10" s="1">
        <v>1328</v>
      </c>
      <c r="F10" s="1">
        <v>1333</v>
      </c>
      <c r="G10" s="1" t="s">
        <v>834</v>
      </c>
      <c r="H10" s="1" t="s">
        <v>835</v>
      </c>
      <c r="I10" s="1"/>
      <c r="J10" s="1"/>
      <c r="K10" s="1"/>
      <c r="L10" s="1"/>
      <c r="M10" s="1"/>
      <c r="N10" s="1"/>
      <c r="O10" s="1"/>
      <c r="P10" s="1"/>
      <c r="Q10" s="1"/>
      <c r="R10" s="1"/>
      <c r="S10" s="1"/>
      <c r="T10" s="1"/>
      <c r="U10" s="1"/>
      <c r="V10" s="1"/>
      <c r="W10" s="1"/>
    </row>
    <row r="11" spans="1:32" x14ac:dyDescent="0.2">
      <c r="A11" s="1" t="s">
        <v>297</v>
      </c>
      <c r="B11" s="1" t="s">
        <v>43</v>
      </c>
      <c r="C11" s="1" t="s">
        <v>43</v>
      </c>
      <c r="D11" s="1" t="s">
        <v>43</v>
      </c>
      <c r="E11" s="1" t="s">
        <v>43</v>
      </c>
      <c r="F11" s="1" t="s">
        <v>43</v>
      </c>
      <c r="G11" s="1" t="s">
        <v>43</v>
      </c>
      <c r="H11" s="1" t="s">
        <v>43</v>
      </c>
      <c r="I11" s="1"/>
      <c r="J11" s="1"/>
      <c r="K11" s="1"/>
      <c r="L11" s="1"/>
      <c r="M11" s="1"/>
      <c r="N11" s="1"/>
      <c r="O11" s="1"/>
      <c r="P11" s="1"/>
      <c r="Q11" s="1"/>
      <c r="R11" s="1"/>
      <c r="S11" s="1"/>
      <c r="T11" s="1"/>
      <c r="U11" s="1"/>
      <c r="V11" s="1"/>
      <c r="W11" s="1"/>
    </row>
    <row r="12" spans="1:32" x14ac:dyDescent="0.2">
      <c r="A12" s="1" t="s">
        <v>306</v>
      </c>
      <c r="B12" s="1" t="s">
        <v>43</v>
      </c>
      <c r="C12" s="1" t="s">
        <v>43</v>
      </c>
      <c r="D12" s="1" t="s">
        <v>43</v>
      </c>
      <c r="E12" s="1" t="s">
        <v>43</v>
      </c>
      <c r="F12" s="1" t="s">
        <v>43</v>
      </c>
      <c r="G12" s="1" t="s">
        <v>43</v>
      </c>
      <c r="H12" s="1" t="s">
        <v>43</v>
      </c>
      <c r="I12" s="1"/>
      <c r="J12" s="1"/>
      <c r="K12" s="1"/>
      <c r="L12" s="1"/>
      <c r="M12" s="1"/>
      <c r="N12" s="1"/>
      <c r="O12" s="1"/>
      <c r="P12" s="1"/>
      <c r="Q12" s="1"/>
      <c r="R12" s="1"/>
      <c r="S12" s="1"/>
      <c r="T12" s="1"/>
      <c r="U12" s="1"/>
      <c r="V12" s="1"/>
      <c r="W12" s="1"/>
    </row>
    <row r="13" spans="1:32" x14ac:dyDescent="0.2">
      <c r="A13" s="1" t="s">
        <v>313</v>
      </c>
      <c r="B13" s="1" t="s">
        <v>43</v>
      </c>
      <c r="C13" s="1" t="s">
        <v>43</v>
      </c>
      <c r="D13" s="1" t="s">
        <v>43</v>
      </c>
      <c r="E13" s="1" t="s">
        <v>43</v>
      </c>
      <c r="F13" s="1" t="s">
        <v>43</v>
      </c>
      <c r="G13" s="1" t="s">
        <v>43</v>
      </c>
      <c r="H13" s="1" t="s">
        <v>43</v>
      </c>
      <c r="I13" s="1"/>
      <c r="J13" s="1"/>
      <c r="K13" s="1"/>
      <c r="L13" s="1"/>
      <c r="M13" s="1"/>
      <c r="N13" s="1"/>
      <c r="O13" s="1"/>
      <c r="P13" s="1"/>
      <c r="Q13" s="1"/>
      <c r="R13" s="1"/>
      <c r="S13" s="1"/>
      <c r="T13" s="1"/>
      <c r="U13" s="1"/>
      <c r="V13" s="1"/>
      <c r="W13" s="1"/>
    </row>
    <row r="14" spans="1:32" x14ac:dyDescent="0.2">
      <c r="A14" s="1" t="s">
        <v>317</v>
      </c>
      <c r="B14" s="1" t="s">
        <v>836</v>
      </c>
      <c r="C14" s="1" t="s">
        <v>837</v>
      </c>
      <c r="D14" s="1" t="s">
        <v>838</v>
      </c>
      <c r="E14" s="1" t="s">
        <v>839</v>
      </c>
      <c r="F14" s="1" t="s">
        <v>840</v>
      </c>
      <c r="G14" s="1" t="s">
        <v>841</v>
      </c>
      <c r="H14" s="1" t="s">
        <v>842</v>
      </c>
      <c r="I14" s="1"/>
      <c r="J14" s="1"/>
      <c r="K14" s="1"/>
      <c r="L14" s="1"/>
      <c r="M14" s="1"/>
      <c r="N14" s="1"/>
      <c r="O14" s="1"/>
      <c r="P14" s="1"/>
      <c r="Q14" s="1"/>
      <c r="R14" s="1"/>
      <c r="S14" s="1"/>
      <c r="T14" s="1"/>
      <c r="U14" s="1"/>
      <c r="V14" s="1"/>
      <c r="W14" s="1"/>
    </row>
    <row r="15" spans="1:32" x14ac:dyDescent="0.2">
      <c r="A15" s="1" t="s">
        <v>323</v>
      </c>
      <c r="B15" s="1">
        <v>2483</v>
      </c>
      <c r="C15" s="1">
        <v>2576</v>
      </c>
      <c r="D15" s="1">
        <v>2176</v>
      </c>
      <c r="E15" s="1">
        <v>1333</v>
      </c>
      <c r="F15" s="1">
        <v>1334</v>
      </c>
      <c r="G15" s="1" t="s">
        <v>843</v>
      </c>
      <c r="H15" s="1" t="s">
        <v>844</v>
      </c>
      <c r="I15" s="1"/>
      <c r="J15" s="1"/>
      <c r="K15" s="1"/>
      <c r="L15" s="1"/>
      <c r="M15" s="1"/>
      <c r="N15" s="1"/>
      <c r="O15" s="1"/>
      <c r="P15" s="1"/>
      <c r="Q15" s="1"/>
      <c r="R15" s="1"/>
      <c r="S15" s="1"/>
      <c r="T15" s="1"/>
      <c r="U15" s="1"/>
      <c r="V15" s="1"/>
      <c r="W15" s="1"/>
    </row>
    <row r="16" spans="1:32" x14ac:dyDescent="0.2">
      <c r="A16" s="1" t="s">
        <v>330</v>
      </c>
      <c r="B16" s="1" t="s">
        <v>845</v>
      </c>
      <c r="C16" s="1" t="s">
        <v>846</v>
      </c>
      <c r="D16" s="1" t="s">
        <v>847</v>
      </c>
      <c r="E16" s="1" t="s">
        <v>848</v>
      </c>
      <c r="F16" s="1" t="s">
        <v>849</v>
      </c>
      <c r="G16" s="1" t="s">
        <v>850</v>
      </c>
      <c r="H16" s="1" t="s">
        <v>851</v>
      </c>
      <c r="I16" s="1"/>
      <c r="J16" s="1"/>
      <c r="K16" s="1"/>
      <c r="L16" s="1"/>
      <c r="M16" s="1"/>
      <c r="N16" s="1"/>
      <c r="O16" s="1"/>
      <c r="P16" s="1"/>
      <c r="Q16" s="1"/>
      <c r="R16" s="1"/>
      <c r="S16" s="1"/>
      <c r="T16" s="1"/>
      <c r="U16" s="1"/>
      <c r="V16" s="1"/>
      <c r="W16" s="1"/>
    </row>
    <row r="17" spans="1:23" x14ac:dyDescent="0.2">
      <c r="A17" s="1" t="s">
        <v>338</v>
      </c>
      <c r="B17" s="1" t="s">
        <v>43</v>
      </c>
      <c r="C17" s="1" t="s">
        <v>43</v>
      </c>
      <c r="D17" s="1" t="s">
        <v>43</v>
      </c>
      <c r="E17" s="1" t="s">
        <v>43</v>
      </c>
      <c r="F17" s="1" t="s">
        <v>43</v>
      </c>
      <c r="G17" s="1" t="s">
        <v>43</v>
      </c>
      <c r="H17" s="1" t="s">
        <v>43</v>
      </c>
      <c r="I17" s="1"/>
      <c r="J17" s="1"/>
      <c r="K17" s="1"/>
      <c r="L17" s="1"/>
      <c r="M17" s="1"/>
      <c r="N17" s="1"/>
      <c r="O17" s="1"/>
      <c r="P17" s="1"/>
      <c r="Q17" s="1"/>
      <c r="R17" s="1"/>
      <c r="S17" s="1"/>
      <c r="T17" s="1"/>
      <c r="U17" s="1"/>
      <c r="V17" s="1"/>
      <c r="W17" s="1"/>
    </row>
    <row r="18" spans="1:23" x14ac:dyDescent="0.2">
      <c r="A18" s="1" t="s">
        <v>339</v>
      </c>
      <c r="B18" s="1">
        <v>1741</v>
      </c>
      <c r="C18" s="1">
        <v>1815</v>
      </c>
      <c r="D18" s="1">
        <v>1550</v>
      </c>
      <c r="E18" s="1" t="s">
        <v>852</v>
      </c>
      <c r="F18" s="1" t="s">
        <v>853</v>
      </c>
      <c r="G18" s="1" t="s">
        <v>854</v>
      </c>
      <c r="H18" s="1" t="s">
        <v>855</v>
      </c>
      <c r="I18" s="1"/>
      <c r="J18" s="1"/>
      <c r="K18" s="1"/>
      <c r="L18" s="1"/>
      <c r="M18" s="1"/>
      <c r="N18" s="1"/>
      <c r="O18" s="1"/>
      <c r="P18" s="1"/>
      <c r="Q18" s="1"/>
      <c r="R18" s="1"/>
      <c r="S18" s="1"/>
      <c r="T18" s="1"/>
      <c r="U18" s="1"/>
      <c r="V18" s="1"/>
      <c r="W18" s="1"/>
    </row>
    <row r="19" spans="1:23" x14ac:dyDescent="0.2">
      <c r="A19" s="1" t="s">
        <v>347</v>
      </c>
      <c r="B19" s="1" t="s">
        <v>856</v>
      </c>
      <c r="C19" s="1" t="s">
        <v>857</v>
      </c>
      <c r="D19" s="1" t="s">
        <v>858</v>
      </c>
      <c r="E19" s="1" t="s">
        <v>859</v>
      </c>
      <c r="F19" s="1" t="s">
        <v>860</v>
      </c>
      <c r="G19" s="1" t="s">
        <v>861</v>
      </c>
      <c r="H19" s="1" t="s">
        <v>862</v>
      </c>
      <c r="I19" s="1"/>
      <c r="J19" s="1"/>
      <c r="K19" s="1"/>
      <c r="L19" s="1"/>
      <c r="M19" s="1"/>
      <c r="N19" s="1"/>
      <c r="O19" s="1"/>
      <c r="P19" s="1"/>
      <c r="Q19" s="1"/>
      <c r="R19" s="1"/>
      <c r="S19" s="1"/>
      <c r="T19" s="1"/>
      <c r="U19" s="1"/>
      <c r="V19" s="1"/>
      <c r="W19" s="1"/>
    </row>
    <row r="20" spans="1:23" x14ac:dyDescent="0.2">
      <c r="A20" s="1" t="s">
        <v>356</v>
      </c>
      <c r="B20" s="1">
        <v>2945</v>
      </c>
      <c r="C20" s="1">
        <v>2952</v>
      </c>
      <c r="D20" s="1">
        <v>2512</v>
      </c>
      <c r="E20" s="1">
        <v>1620</v>
      </c>
      <c r="F20" s="1">
        <v>1558</v>
      </c>
      <c r="G20" s="1">
        <v>1005</v>
      </c>
      <c r="H20" s="1">
        <v>1051</v>
      </c>
      <c r="I20" s="1"/>
      <c r="J20" s="1"/>
      <c r="K20" s="1"/>
      <c r="L20" s="1"/>
      <c r="M20" s="1"/>
      <c r="N20" s="1"/>
      <c r="O20" s="1"/>
      <c r="P20" s="1"/>
      <c r="Q20" s="1"/>
      <c r="R20" s="1"/>
      <c r="S20" s="1"/>
      <c r="T20" s="1"/>
      <c r="U20" s="1"/>
      <c r="V20" s="1"/>
      <c r="W20" s="1"/>
    </row>
    <row r="21" spans="1:23" x14ac:dyDescent="0.2">
      <c r="A21" s="1" t="s">
        <v>364</v>
      </c>
      <c r="B21" s="1" t="s">
        <v>863</v>
      </c>
      <c r="C21" s="1" t="s">
        <v>774</v>
      </c>
      <c r="D21" s="1" t="s">
        <v>864</v>
      </c>
      <c r="E21" s="1" t="s">
        <v>865</v>
      </c>
      <c r="F21" s="1" t="s">
        <v>866</v>
      </c>
      <c r="G21" s="1" t="s">
        <v>867</v>
      </c>
      <c r="H21" s="1" t="s">
        <v>868</v>
      </c>
      <c r="I21" s="1"/>
      <c r="J21" s="1"/>
      <c r="K21" s="1"/>
      <c r="L21" s="1"/>
      <c r="M21" s="1"/>
      <c r="N21" s="1"/>
      <c r="O21" s="1"/>
      <c r="P21" s="1"/>
      <c r="Q21" s="1"/>
      <c r="R21" s="1"/>
      <c r="S21" s="1"/>
      <c r="T21" s="1"/>
      <c r="U21" s="1"/>
      <c r="V21" s="1"/>
      <c r="W21" s="1"/>
    </row>
    <row r="22" spans="1:23" x14ac:dyDescent="0.2">
      <c r="A22" s="1" t="s">
        <v>372</v>
      </c>
      <c r="B22" s="1" t="s">
        <v>869</v>
      </c>
      <c r="C22" s="1" t="s">
        <v>870</v>
      </c>
      <c r="D22" s="1" t="s">
        <v>871</v>
      </c>
      <c r="E22" s="1" t="s">
        <v>872</v>
      </c>
      <c r="F22" s="1" t="s">
        <v>873</v>
      </c>
      <c r="G22" s="1" t="s">
        <v>874</v>
      </c>
      <c r="H22" s="1" t="s">
        <v>875</v>
      </c>
      <c r="I22" s="1"/>
      <c r="J22" s="1"/>
      <c r="K22" s="1"/>
      <c r="L22" s="1"/>
      <c r="M22" s="1"/>
      <c r="N22" s="1"/>
      <c r="O22" s="1"/>
      <c r="P22" s="1"/>
      <c r="Q22" s="1"/>
      <c r="R22" s="1"/>
      <c r="S22" s="1"/>
      <c r="T22" s="1"/>
      <c r="U22" s="1"/>
      <c r="V22" s="1"/>
      <c r="W22" s="1"/>
    </row>
    <row r="23" spans="1:23" x14ac:dyDescent="0.2">
      <c r="A23" s="1" t="s">
        <v>379</v>
      </c>
      <c r="B23" s="1" t="s">
        <v>876</v>
      </c>
      <c r="C23" s="1" t="s">
        <v>877</v>
      </c>
      <c r="D23" s="1" t="s">
        <v>878</v>
      </c>
      <c r="E23" s="1" t="s">
        <v>879</v>
      </c>
      <c r="F23" s="1" t="s">
        <v>880</v>
      </c>
      <c r="G23" s="1" t="s">
        <v>881</v>
      </c>
      <c r="H23" s="1" t="s">
        <v>882</v>
      </c>
      <c r="I23" s="1"/>
      <c r="J23" s="1"/>
      <c r="K23" s="1"/>
      <c r="L23" s="1"/>
      <c r="M23" s="1"/>
      <c r="N23" s="1"/>
      <c r="O23" s="1"/>
      <c r="P23" s="1"/>
      <c r="Q23" s="1"/>
      <c r="R23" s="1"/>
      <c r="S23" s="1"/>
      <c r="T23" s="1"/>
      <c r="U23" s="1"/>
      <c r="V23" s="1"/>
      <c r="W23" s="1"/>
    </row>
    <row r="24" spans="1:23" x14ac:dyDescent="0.2">
      <c r="A24" s="1" t="s">
        <v>387</v>
      </c>
      <c r="B24" s="1" t="s">
        <v>883</v>
      </c>
      <c r="C24" s="1" t="s">
        <v>884</v>
      </c>
      <c r="D24" s="1" t="s">
        <v>885</v>
      </c>
      <c r="E24" s="1" t="s">
        <v>629</v>
      </c>
      <c r="F24" s="1" t="s">
        <v>881</v>
      </c>
      <c r="G24" s="1" t="s">
        <v>886</v>
      </c>
      <c r="H24" s="1" t="s">
        <v>887</v>
      </c>
      <c r="I24" s="1"/>
      <c r="J24" s="1"/>
      <c r="K24" s="1"/>
      <c r="L24" s="1"/>
      <c r="M24" s="1"/>
      <c r="N24" s="1"/>
      <c r="O24" s="1"/>
      <c r="P24" s="1"/>
      <c r="Q24" s="1"/>
      <c r="R24" s="1"/>
      <c r="S24" s="1"/>
      <c r="T24" s="1"/>
      <c r="U24" s="1"/>
      <c r="V24" s="1"/>
      <c r="W24" s="1"/>
    </row>
  </sheetData>
  <pageMargins left="0.7" right="0.7" top="0.75" bottom="0.75" header="0.3" footer="0.3"/>
  <pageSetup orientation="portrait"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155E6-BF63-334A-9BC0-036CF3BD1769}">
  <dimension ref="A1:D20"/>
  <sheetViews>
    <sheetView workbookViewId="0">
      <selection activeCell="A15" sqref="A15"/>
    </sheetView>
  </sheetViews>
  <sheetFormatPr baseColWidth="10" defaultRowHeight="16" x14ac:dyDescent="0.2"/>
  <cols>
    <col min="2" max="2" width="16.33203125" bestFit="1" customWidth="1"/>
    <col min="4" max="4" width="15" bestFit="1" customWidth="1"/>
  </cols>
  <sheetData>
    <row r="1" spans="1:4" x14ac:dyDescent="0.2">
      <c r="A1" t="s">
        <v>888</v>
      </c>
      <c r="B1" t="s">
        <v>290</v>
      </c>
      <c r="C1" t="s">
        <v>254</v>
      </c>
      <c r="D1" t="s">
        <v>546</v>
      </c>
    </row>
    <row r="2" spans="1:4" x14ac:dyDescent="0.2">
      <c r="A2">
        <v>2021</v>
      </c>
      <c r="B2">
        <f>Lulu!R7</f>
        <v>820</v>
      </c>
      <c r="C2">
        <f>Lulu!K7</f>
        <v>4402</v>
      </c>
      <c r="D2" s="14">
        <f>B2/C2</f>
        <v>0.186278964107224</v>
      </c>
    </row>
    <row r="3" spans="1:4" x14ac:dyDescent="0.2">
      <c r="A3">
        <v>2022</v>
      </c>
      <c r="B3">
        <f>Lulu!R6</f>
        <v>1333</v>
      </c>
      <c r="C3">
        <f>Lulu!K6</f>
        <v>6257</v>
      </c>
      <c r="D3" s="14">
        <f t="shared" ref="D3:D6" si="0">B3/C3</f>
        <v>0.21304139363912419</v>
      </c>
    </row>
    <row r="4" spans="1:4" x14ac:dyDescent="0.2">
      <c r="A4">
        <v>2023</v>
      </c>
      <c r="B4">
        <f>Lulu!R5</f>
        <v>1328</v>
      </c>
      <c r="C4">
        <f>Lulu!K5</f>
        <v>8111</v>
      </c>
      <c r="D4" s="14">
        <f t="shared" si="0"/>
        <v>0.16372827025027739</v>
      </c>
    </row>
    <row r="5" spans="1:4" x14ac:dyDescent="0.2">
      <c r="A5">
        <v>2024</v>
      </c>
      <c r="B5">
        <f>Lulu!R4</f>
        <v>2133</v>
      </c>
      <c r="C5">
        <f>Lulu!K4</f>
        <v>9619</v>
      </c>
      <c r="D5" s="14">
        <f t="shared" si="0"/>
        <v>0.22174862251793326</v>
      </c>
    </row>
    <row r="6" spans="1:4" x14ac:dyDescent="0.2">
      <c r="A6">
        <v>2025</v>
      </c>
      <c r="B6">
        <f>Lulu!R3</f>
        <v>2506</v>
      </c>
      <c r="C6">
        <f>Lulu!K3</f>
        <v>10588</v>
      </c>
      <c r="D6" s="14">
        <f t="shared" si="0"/>
        <v>0.23668303740083113</v>
      </c>
    </row>
    <row r="7" spans="1:4" x14ac:dyDescent="0.2">
      <c r="D7" s="14"/>
    </row>
    <row r="8" spans="1:4" x14ac:dyDescent="0.2">
      <c r="A8" t="s">
        <v>903</v>
      </c>
      <c r="D8" s="14"/>
    </row>
    <row r="9" spans="1:4" x14ac:dyDescent="0.2">
      <c r="A9">
        <v>2021</v>
      </c>
      <c r="B9">
        <f>ADDYY!J32</f>
        <v>1986</v>
      </c>
      <c r="C9">
        <f>ADDYY!C32</f>
        <v>21234</v>
      </c>
      <c r="D9" s="14">
        <f>B9/C9</f>
        <v>9.3529245549590273E-2</v>
      </c>
    </row>
    <row r="10" spans="1:4" x14ac:dyDescent="0.2">
      <c r="A10">
        <v>2022</v>
      </c>
      <c r="B10">
        <f>ADDYY!J31</f>
        <v>669</v>
      </c>
      <c r="C10">
        <f>ADDYY!C31</f>
        <v>22511</v>
      </c>
      <c r="D10" s="14">
        <f t="shared" ref="D10:D13" si="1">B10/C10</f>
        <v>2.9718804140198125E-2</v>
      </c>
    </row>
    <row r="11" spans="1:4" x14ac:dyDescent="0.2">
      <c r="A11">
        <v>2023</v>
      </c>
      <c r="B11">
        <f>ADDYY!J30</f>
        <v>268</v>
      </c>
      <c r="C11">
        <f>ADDYY!C30</f>
        <v>21427</v>
      </c>
      <c r="D11" s="14">
        <f t="shared" si="1"/>
        <v>1.2507583889485229E-2</v>
      </c>
    </row>
    <row r="12" spans="1:4" x14ac:dyDescent="0.2">
      <c r="A12">
        <v>2024</v>
      </c>
      <c r="B12">
        <f>ADDYY!J29</f>
        <v>1337</v>
      </c>
      <c r="C12">
        <f>ADDYY!C29</f>
        <v>23683</v>
      </c>
      <c r="D12" s="14">
        <f t="shared" si="1"/>
        <v>5.645399653760081E-2</v>
      </c>
    </row>
    <row r="13" spans="1:4" x14ac:dyDescent="0.2">
      <c r="A13">
        <v>2025</v>
      </c>
      <c r="B13">
        <f>ADDYY!J28</f>
        <v>1949</v>
      </c>
      <c r="C13">
        <f>ADDYY!C28</f>
        <v>2470</v>
      </c>
      <c r="D13" s="14">
        <f t="shared" si="1"/>
        <v>0.78906882591093119</v>
      </c>
    </row>
    <row r="14" spans="1:4" x14ac:dyDescent="0.2">
      <c r="D14" s="14"/>
    </row>
    <row r="15" spans="1:4" x14ac:dyDescent="0.2">
      <c r="A15" t="s">
        <v>904</v>
      </c>
      <c r="D15" s="14"/>
    </row>
    <row r="16" spans="1:4" x14ac:dyDescent="0.2">
      <c r="A16">
        <v>2021</v>
      </c>
      <c r="B16">
        <f>Anta!R6</f>
        <v>10.989000000000001</v>
      </c>
      <c r="C16">
        <f>Anta!K6</f>
        <v>49.328000000000003</v>
      </c>
      <c r="D16" s="14">
        <f>B16/C16</f>
        <v>0.22277408368472268</v>
      </c>
    </row>
    <row r="17" spans="1:4" x14ac:dyDescent="0.2">
      <c r="A17">
        <v>2022</v>
      </c>
      <c r="B17">
        <f>Anta!R5</f>
        <v>11.23</v>
      </c>
      <c r="C17">
        <f>Anta!K5</f>
        <v>53.651000000000003</v>
      </c>
      <c r="D17" s="14">
        <f t="shared" ref="D17:D20" si="2">B17/C17</f>
        <v>0.2093157629867104</v>
      </c>
    </row>
    <row r="18" spans="1:4" x14ac:dyDescent="0.2">
      <c r="A18">
        <v>2023</v>
      </c>
      <c r="B18">
        <f>Anta!R4</f>
        <v>15.367000000000001</v>
      </c>
      <c r="C18">
        <f>Anta!K4</f>
        <v>62.356000000000002</v>
      </c>
      <c r="D18" s="14">
        <f t="shared" si="2"/>
        <v>0.246439797292963</v>
      </c>
    </row>
    <row r="19" spans="1:4" x14ac:dyDescent="0.2">
      <c r="A19">
        <v>2024</v>
      </c>
      <c r="B19">
        <f>Anta!R3</f>
        <v>16.594999999999999</v>
      </c>
      <c r="C19">
        <f>Anta!K3</f>
        <v>70.825999999999993</v>
      </c>
      <c r="D19" s="14">
        <f t="shared" si="2"/>
        <v>0.23430661056674104</v>
      </c>
    </row>
    <row r="20" spans="1:4" x14ac:dyDescent="0.2">
      <c r="A20">
        <v>2025</v>
      </c>
      <c r="B20">
        <f>Anta!R2</f>
        <v>18.065999999999999</v>
      </c>
      <c r="C20">
        <f>Anta!K2</f>
        <v>75.635000000000005</v>
      </c>
      <c r="D20" s="14">
        <f t="shared" si="2"/>
        <v>0.23885767171283134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6754-2A36-104A-8BF1-A9ADC74777D0}">
  <dimension ref="A1:D26"/>
  <sheetViews>
    <sheetView workbookViewId="0">
      <selection sqref="A1:C26"/>
    </sheetView>
  </sheetViews>
  <sheetFormatPr baseColWidth="10" defaultRowHeight="16" x14ac:dyDescent="0.2"/>
  <cols>
    <col min="2" max="2" width="32.1640625" bestFit="1" customWidth="1"/>
  </cols>
  <sheetData>
    <row r="1" spans="1:4" x14ac:dyDescent="0.2">
      <c r="A1" t="s">
        <v>905</v>
      </c>
      <c r="B1" t="s">
        <v>921</v>
      </c>
      <c r="C1" t="s">
        <v>922</v>
      </c>
    </row>
    <row r="2" spans="1:4" x14ac:dyDescent="0.2">
      <c r="A2">
        <v>2025</v>
      </c>
      <c r="B2" t="s">
        <v>919</v>
      </c>
      <c r="C2" s="31">
        <f>Table8[[#This Row],[Prior Year NI (USD Billions) △]]</f>
        <v>5.7</v>
      </c>
    </row>
    <row r="3" spans="1:4" x14ac:dyDescent="0.2">
      <c r="A3">
        <v>2025</v>
      </c>
      <c r="B3" t="s">
        <v>918</v>
      </c>
      <c r="C3" s="31">
        <f>'WATERFALL Analysis'!C2</f>
        <v>-5.0530000000000044</v>
      </c>
    </row>
    <row r="4" spans="1:4" x14ac:dyDescent="0.2">
      <c r="A4">
        <v>2025</v>
      </c>
      <c r="B4" t="s">
        <v>916</v>
      </c>
      <c r="C4" s="31">
        <f>'WATERFALL Analysis'!D2</f>
        <v>-1.9560000000000031</v>
      </c>
    </row>
    <row r="5" spans="1:4" x14ac:dyDescent="0.2">
      <c r="A5">
        <v>2025</v>
      </c>
      <c r="B5" t="s">
        <v>917</v>
      </c>
      <c r="C5" s="31">
        <f>'WATERFALL Analysis'!E2</f>
        <v>-0.48799999999999955</v>
      </c>
    </row>
    <row r="6" spans="1:4" x14ac:dyDescent="0.2">
      <c r="A6">
        <v>2025</v>
      </c>
      <c r="B6" t="s">
        <v>920</v>
      </c>
      <c r="C6" s="31">
        <f>'WATERFALL Analysis'!F2</f>
        <v>3.2189999999999999</v>
      </c>
      <c r="D6" t="s">
        <v>913</v>
      </c>
    </row>
    <row r="7" spans="1:4" x14ac:dyDescent="0.2">
      <c r="A7">
        <v>2024</v>
      </c>
      <c r="B7" t="s">
        <v>919</v>
      </c>
      <c r="C7" s="31">
        <f>'WATERFALL Analysis'!B3</f>
        <v>5.07</v>
      </c>
    </row>
    <row r="8" spans="1:4" x14ac:dyDescent="0.2">
      <c r="A8">
        <v>2024</v>
      </c>
      <c r="B8" t="s">
        <v>918</v>
      </c>
      <c r="C8" s="31">
        <f>'WATERFALL Analysis'!C3</f>
        <v>0.14500000000000313</v>
      </c>
    </row>
    <row r="9" spans="1:4" x14ac:dyDescent="0.2">
      <c r="A9">
        <v>2024</v>
      </c>
      <c r="B9" t="s">
        <v>916</v>
      </c>
      <c r="C9" s="31">
        <f>'WATERFALL Analysis'!D3</f>
        <v>-0.44999999999999929</v>
      </c>
    </row>
    <row r="10" spans="1:4" x14ac:dyDescent="0.2">
      <c r="A10">
        <v>2024</v>
      </c>
      <c r="B10" t="s">
        <v>917</v>
      </c>
      <c r="C10" s="31">
        <f>'WATERFALL Analysis'!E3</f>
        <v>0.19900000000000162</v>
      </c>
    </row>
    <row r="11" spans="1:4" x14ac:dyDescent="0.2">
      <c r="A11">
        <v>2024</v>
      </c>
      <c r="B11" t="s">
        <v>920</v>
      </c>
      <c r="C11" s="31">
        <f>'WATERFALL Analysis'!F3</f>
        <v>5.7</v>
      </c>
    </row>
    <row r="12" spans="1:4" x14ac:dyDescent="0.2">
      <c r="A12">
        <v>2023</v>
      </c>
      <c r="B12" t="s">
        <v>919</v>
      </c>
      <c r="C12" s="31">
        <f>'WATERFALL Analysis'!B4</f>
        <v>6.0460000000000003</v>
      </c>
    </row>
    <row r="13" spans="1:4" x14ac:dyDescent="0.2">
      <c r="A13">
        <v>2023</v>
      </c>
      <c r="B13" t="s">
        <v>918</v>
      </c>
      <c r="C13" s="31">
        <f>'WATERFALL Analysis'!C4</f>
        <v>4.5069999999999979</v>
      </c>
    </row>
    <row r="14" spans="1:4" x14ac:dyDescent="0.2">
      <c r="A14">
        <v>2023</v>
      </c>
      <c r="B14" t="s">
        <v>916</v>
      </c>
      <c r="C14" s="31">
        <f>'WATERFALL Analysis'!D4</f>
        <v>3.6939999999999991</v>
      </c>
    </row>
    <row r="15" spans="1:4" x14ac:dyDescent="0.2">
      <c r="A15">
        <v>2023</v>
      </c>
      <c r="B15" t="s">
        <v>917</v>
      </c>
      <c r="C15" s="31">
        <f>'WATERFALL Analysis'!E4</f>
        <v>1.5729999999999986</v>
      </c>
    </row>
    <row r="16" spans="1:4" x14ac:dyDescent="0.2">
      <c r="A16">
        <v>2023</v>
      </c>
      <c r="B16" t="s">
        <v>920</v>
      </c>
      <c r="C16" s="31">
        <f>'WATERFALL Analysis'!F4</f>
        <v>5.07</v>
      </c>
    </row>
    <row r="17" spans="1:3" x14ac:dyDescent="0.2">
      <c r="A17">
        <v>2022</v>
      </c>
      <c r="B17" t="s">
        <v>919</v>
      </c>
      <c r="C17" s="31">
        <f>'WATERFALL Analysis'!B5</f>
        <v>5.7270000000000003</v>
      </c>
    </row>
    <row r="18" spans="1:3" x14ac:dyDescent="0.2">
      <c r="A18">
        <v>2022</v>
      </c>
      <c r="B18" t="s">
        <v>918</v>
      </c>
      <c r="C18" s="31">
        <f>'WATERFALL Analysis'!C5</f>
        <v>2.1720000000000041</v>
      </c>
    </row>
    <row r="19" spans="1:3" x14ac:dyDescent="0.2">
      <c r="A19">
        <v>2022</v>
      </c>
      <c r="B19" t="s">
        <v>916</v>
      </c>
      <c r="C19" s="31">
        <f>'WATERFALL Analysis'!D5</f>
        <v>0.65500000000000114</v>
      </c>
    </row>
    <row r="20" spans="1:3" x14ac:dyDescent="0.2">
      <c r="A20">
        <v>2022</v>
      </c>
      <c r="B20" t="s">
        <v>917</v>
      </c>
      <c r="C20" s="31">
        <f>'WATERFALL Analysis'!E5</f>
        <v>1.7789999999999999</v>
      </c>
    </row>
    <row r="21" spans="1:3" x14ac:dyDescent="0.2">
      <c r="A21">
        <v>2022</v>
      </c>
      <c r="B21" t="s">
        <v>920</v>
      </c>
      <c r="C21" s="31">
        <f>'WATERFALL Analysis'!F5</f>
        <v>6.0460000000000003</v>
      </c>
    </row>
    <row r="22" spans="1:3" x14ac:dyDescent="0.2">
      <c r="A22">
        <v>2021</v>
      </c>
      <c r="B22" t="s">
        <v>919</v>
      </c>
      <c r="C22" s="31">
        <f>'WATERFALL Analysis'!B6</f>
        <v>2.5390000000000001</v>
      </c>
    </row>
    <row r="23" spans="1:3" x14ac:dyDescent="0.2">
      <c r="A23">
        <v>2021</v>
      </c>
      <c r="B23" t="s">
        <v>918</v>
      </c>
      <c r="C23" s="31">
        <f>'WATERFALL Analysis'!C6</f>
        <v>7.134999999999998</v>
      </c>
    </row>
    <row r="24" spans="1:3" x14ac:dyDescent="0.2">
      <c r="A24">
        <v>2021</v>
      </c>
      <c r="B24" t="s">
        <v>916</v>
      </c>
      <c r="C24" s="31">
        <f>'WATERFALL Analysis'!D6</f>
        <v>3.4140000000000015</v>
      </c>
    </row>
    <row r="25" spans="1:3" x14ac:dyDescent="0.2">
      <c r="A25">
        <v>2021</v>
      </c>
      <c r="B25" t="s">
        <v>917</v>
      </c>
      <c r="C25" s="31">
        <f>'WATERFALL Analysis'!E6</f>
        <v>-0.10099999999999909</v>
      </c>
    </row>
    <row r="26" spans="1:3" x14ac:dyDescent="0.2">
      <c r="A26">
        <v>2021</v>
      </c>
      <c r="B26" t="s">
        <v>920</v>
      </c>
      <c r="C26" s="31">
        <f>'WATERFALL Analysis'!F6</f>
        <v>5.7270000000000003</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5342D-B3B4-9E4F-BF7E-FF2D7A923AEE}">
  <dimension ref="A1:G26"/>
  <sheetViews>
    <sheetView workbookViewId="0">
      <selection activeCell="B22" sqref="B22"/>
    </sheetView>
  </sheetViews>
  <sheetFormatPr baseColWidth="10" defaultRowHeight="16" x14ac:dyDescent="0.2"/>
  <cols>
    <col min="2" max="2" width="21.5" bestFit="1" customWidth="1"/>
    <col min="5" max="5" width="13.5" bestFit="1" customWidth="1"/>
    <col min="6" max="6" width="81.5" bestFit="1" customWidth="1"/>
  </cols>
  <sheetData>
    <row r="1" spans="1:7" x14ac:dyDescent="0.2">
      <c r="A1" t="s">
        <v>905</v>
      </c>
      <c r="B1" t="s">
        <v>927</v>
      </c>
      <c r="C1" t="s">
        <v>922</v>
      </c>
    </row>
    <row r="2" spans="1:7" x14ac:dyDescent="0.2">
      <c r="A2">
        <v>2025</v>
      </c>
      <c r="B2" t="s">
        <v>928</v>
      </c>
      <c r="C2" s="27">
        <f>Table5[[#This Row],[YoY %]]</f>
        <v>-9.8380125384525605E-2</v>
      </c>
    </row>
    <row r="3" spans="1:7" x14ac:dyDescent="0.2">
      <c r="A3">
        <v>2025</v>
      </c>
      <c r="B3" t="s">
        <v>929</v>
      </c>
      <c r="C3" s="27">
        <f>'Ratio Analysis'!G2</f>
        <v>6.9511326092120324E-2</v>
      </c>
    </row>
    <row r="4" spans="1:7" x14ac:dyDescent="0.2">
      <c r="A4">
        <v>2025</v>
      </c>
      <c r="B4" t="s">
        <v>930</v>
      </c>
      <c r="C4" s="27">
        <f>'Ratio Analysis'!H2</f>
        <v>0.34740547193850013</v>
      </c>
    </row>
    <row r="5" spans="1:7" x14ac:dyDescent="0.2">
      <c r="A5">
        <v>2025</v>
      </c>
      <c r="B5" t="s">
        <v>931</v>
      </c>
      <c r="C5" s="27">
        <f>'IS ANALYSIS'!X2</f>
        <v>0.42734673605562634</v>
      </c>
    </row>
    <row r="6" spans="1:7" x14ac:dyDescent="0.2">
      <c r="A6">
        <v>2025</v>
      </c>
      <c r="B6" t="s">
        <v>932</v>
      </c>
      <c r="C6">
        <f>MAX(ABS('VARIANCE ANALYSIS'!C2), ABS('VARIANCE ANALYSIS'!F2), ABS('WATERFALL Analysis'!D2))</f>
        <v>5.0530000000000044</v>
      </c>
    </row>
    <row r="7" spans="1:7" x14ac:dyDescent="0.2">
      <c r="A7">
        <v>2024</v>
      </c>
      <c r="B7" t="s">
        <v>928</v>
      </c>
      <c r="C7" s="27">
        <f>'VARIANCE ANALYSIS'!D3</f>
        <v>2.8310912392370334E-3</v>
      </c>
    </row>
    <row r="8" spans="1:7" x14ac:dyDescent="0.2">
      <c r="A8">
        <v>2024</v>
      </c>
      <c r="B8" t="s">
        <v>929</v>
      </c>
      <c r="C8" s="27">
        <f>'Ratio Analysis'!G3</f>
        <v>0.11097698687745804</v>
      </c>
    </row>
    <row r="9" spans="1:7" x14ac:dyDescent="0.2">
      <c r="A9">
        <v>2024</v>
      </c>
      <c r="B9" t="s">
        <v>930</v>
      </c>
      <c r="C9" s="27">
        <f>'Ratio Analysis'!H3</f>
        <v>0.32272886569837622</v>
      </c>
    </row>
    <row r="10" spans="1:7" x14ac:dyDescent="0.2">
      <c r="A10">
        <v>2024</v>
      </c>
      <c r="B10" t="s">
        <v>931</v>
      </c>
      <c r="C10" s="27">
        <f>'IS ANALYSIS'!X3</f>
        <v>0.44560180678322492</v>
      </c>
      <c r="F10" t="s">
        <v>934</v>
      </c>
      <c r="G10" t="s">
        <v>938</v>
      </c>
    </row>
    <row r="11" spans="1:7" x14ac:dyDescent="0.2">
      <c r="A11">
        <v>2024</v>
      </c>
      <c r="B11" t="s">
        <v>932</v>
      </c>
      <c r="C11">
        <f>MAX(ABS('WATERFALL Analysis'!C3),ABS('WATERFALL Analysis'!D3),ABS('WATERFALL Analysis'!E3))</f>
        <v>0.44999999999999929</v>
      </c>
      <c r="F11" t="s">
        <v>928</v>
      </c>
      <c r="G11" s="14">
        <f>GETPIVOTDATA("Amount",'Insights Pivot'!$A$3,"Metric","Revenue Growth")</f>
        <v>9.6488974523656554E-2</v>
      </c>
    </row>
    <row r="12" spans="1:7" x14ac:dyDescent="0.2">
      <c r="A12">
        <v>2023</v>
      </c>
      <c r="B12" t="s">
        <v>928</v>
      </c>
      <c r="C12" s="27">
        <f>'VARIANCE ANALYSIS'!D4</f>
        <v>9.6488974523656554E-2</v>
      </c>
      <c r="F12" t="s">
        <v>935</v>
      </c>
      <c r="G12" s="14">
        <f>GETPIVOTDATA("Amount",'Insights Pivot'!$A$3,"Metric","Net Income Margin")</f>
        <v>-0.16142904399603042</v>
      </c>
    </row>
    <row r="13" spans="1:7" x14ac:dyDescent="0.2">
      <c r="A13">
        <v>2023</v>
      </c>
      <c r="B13" t="s">
        <v>929</v>
      </c>
      <c r="C13" s="27">
        <f>'VARIANCE ANALYSIS'!P4</f>
        <v>-0.16142904399603042</v>
      </c>
      <c r="F13" t="s">
        <v>933</v>
      </c>
      <c r="G13" s="14">
        <f>GETPIVOTDATA("Amount",'Insights Pivot'!$A$3,"Metric","Operating expense ratio")</f>
        <v>0.31975711189644063</v>
      </c>
    </row>
    <row r="14" spans="1:7" x14ac:dyDescent="0.2">
      <c r="A14">
        <v>2023</v>
      </c>
      <c r="B14" t="s">
        <v>930</v>
      </c>
      <c r="C14" s="27">
        <f>'Ratio Analysis'!H4</f>
        <v>0.31975711189644063</v>
      </c>
      <c r="F14" t="s">
        <v>936</v>
      </c>
      <c r="G14" s="14">
        <f>GETPIVOTDATA("Amount",'Insights Pivot'!$A$3,"Metric","Gross margin percentage")</f>
        <v>0.43524610969014199</v>
      </c>
    </row>
    <row r="15" spans="1:7" x14ac:dyDescent="0.2">
      <c r="A15">
        <v>2023</v>
      </c>
      <c r="B15" t="s">
        <v>931</v>
      </c>
      <c r="C15" s="27">
        <f>'IS ANALYSIS'!X4</f>
        <v>0.43524610969014199</v>
      </c>
      <c r="F15" t="s">
        <v>937</v>
      </c>
      <c r="G15">
        <f>GETPIVOTDATA("Amount",'Insights Pivot'!$A$3,"Metric","Earnings Bridge Driver")</f>
        <v>4.5069999999999979</v>
      </c>
    </row>
    <row r="16" spans="1:7" x14ac:dyDescent="0.2">
      <c r="A16">
        <v>2023</v>
      </c>
      <c r="B16" t="s">
        <v>932</v>
      </c>
      <c r="C16">
        <f>MAX(ABS('WATERFALL Analysis'!C4), ABS('WATERFALL Analysis'!D4), ABS('WATERFALL Analysis'!E4))</f>
        <v>4.5069999999999979</v>
      </c>
    </row>
    <row r="17" spans="1:6" x14ac:dyDescent="0.2">
      <c r="A17">
        <v>2022</v>
      </c>
      <c r="B17" t="s">
        <v>928</v>
      </c>
      <c r="C17" s="27">
        <f>'VARIANCE ANALYSIS'!D5</f>
        <v>4.8767344739323822E-2</v>
      </c>
      <c r="E17" t="s">
        <v>939</v>
      </c>
      <c r="F17" s="39" t="str">
        <f>IF(G11&gt;0,
"Revenue increased year-on-year, indicating topline growth.",
"Revenue declined year-on-year, reflecting topline pressure.")</f>
        <v>Revenue increased year-on-year, indicating topline growth.</v>
      </c>
    </row>
    <row r="18" spans="1:6" x14ac:dyDescent="0.2">
      <c r="A18">
        <v>2022</v>
      </c>
      <c r="B18" t="s">
        <v>929</v>
      </c>
      <c r="C18" s="27">
        <f>'Ratio Analysis'!G5</f>
        <v>0.12943695140226932</v>
      </c>
      <c r="E18" t="s">
        <v>940</v>
      </c>
      <c r="F18" s="39" t="str">
        <f>IF(AND(G11&gt;0,G12&lt;0),
"Despite revenue growth, profitability weakened as margins deteriorated.",
IF(AND(G11&gt;0,G12&gt;=0),
"Revenue growth translated into improved profitability.",
IF(AND(G11&lt;0,G12&lt;0),
"Declining revenue and weakening margins placed pressure on profitability.",
"Margin stability helped offset revenue pressure.")))</f>
        <v>Despite revenue growth, profitability weakened as margins deteriorated.</v>
      </c>
    </row>
    <row r="19" spans="1:6" x14ac:dyDescent="0.2">
      <c r="A19">
        <v>2022</v>
      </c>
      <c r="B19" t="s">
        <v>930</v>
      </c>
      <c r="C19" s="27">
        <f>'Ratio Analysis'!H5</f>
        <v>0.31693427531577822</v>
      </c>
      <c r="E19" t="s">
        <v>941</v>
      </c>
      <c r="F19" s="39" t="str">
        <f>IF(G14&lt;0,
"Gross margin compressed, suggesting pricing pressure or higher input costs.",
"Gross margin remained stable, indicating effective pricing and cost control.")</f>
        <v>Gross margin remained stable, indicating effective pricing and cost control.</v>
      </c>
    </row>
    <row r="20" spans="1:6" x14ac:dyDescent="0.2">
      <c r="A20">
        <v>2022</v>
      </c>
      <c r="B20" t="s">
        <v>931</v>
      </c>
      <c r="C20" s="27">
        <f>'IS ANALYSIS'!X5</f>
        <v>0.45983729394134015</v>
      </c>
      <c r="E20" t="s">
        <v>942</v>
      </c>
      <c r="F20" s="39" t="str">
        <f>IF(G13&gt;0,
"Operating expenses grew faster than revenue, indicating declining operating leverage.",
"Operating expenses were well controlled relative to revenue.")</f>
        <v>Operating expenses grew faster than revenue, indicating declining operating leverage.</v>
      </c>
    </row>
    <row r="21" spans="1:6" x14ac:dyDescent="0.2">
      <c r="A21">
        <v>2022</v>
      </c>
      <c r="B21" t="s">
        <v>932</v>
      </c>
      <c r="C21">
        <f>MAX(ABS('WATERFALL Analysis'!C5), ABS('WATERFALL Analysis'!D5), ABS('WATERFALL Analysis'!E5))</f>
        <v>2.1720000000000041</v>
      </c>
      <c r="E21" t="s">
        <v>943</v>
      </c>
      <c r="F21" t="str">
        <f>IF(G15="Revenue",
"Changes in revenue were the primary driver of earnings movement.",
IF(B6="COGS",
"Cost of goods sold was the largest contributor to the change in earnings.",
"Operating expenses were the primary driver of earnings movement."))</f>
        <v>Operating expenses were the primary driver of earnings movement.</v>
      </c>
    </row>
    <row r="22" spans="1:6" x14ac:dyDescent="0.2">
      <c r="A22">
        <v>2021</v>
      </c>
      <c r="B22" s="37" t="s">
        <v>928</v>
      </c>
      <c r="C22" s="27">
        <f>'VARIANCE ANALYSIS'!D6</f>
        <v>0.19076009945726274</v>
      </c>
    </row>
    <row r="23" spans="1:6" x14ac:dyDescent="0.2">
      <c r="A23">
        <v>2021</v>
      </c>
      <c r="B23" s="37" t="s">
        <v>929</v>
      </c>
      <c r="C23" s="27">
        <f>'Ratio Analysis'!G6</f>
        <v>0.1285868247339351</v>
      </c>
    </row>
    <row r="24" spans="1:6" x14ac:dyDescent="0.2">
      <c r="A24">
        <v>2021</v>
      </c>
      <c r="B24" s="37" t="s">
        <v>930</v>
      </c>
      <c r="C24" s="27">
        <f>'Ratio Analysis'!H6</f>
        <v>0.29244689927702189</v>
      </c>
    </row>
    <row r="25" spans="1:6" x14ac:dyDescent="0.2">
      <c r="A25">
        <v>2021</v>
      </c>
      <c r="B25" s="37" t="s">
        <v>931</v>
      </c>
      <c r="C25" s="27">
        <f>'IS ANALYSIS'!X6</f>
        <v>0.44820153576721006</v>
      </c>
    </row>
    <row r="26" spans="1:6" x14ac:dyDescent="0.2">
      <c r="A26">
        <v>2021</v>
      </c>
      <c r="B26" s="37" t="s">
        <v>932</v>
      </c>
      <c r="C26">
        <f>MAX(ABS('WATERFALL Analysis'!C6), ABS('WATERFALL Analysis'!D6), ABS('WATERFALL Analysis'!E6))</f>
        <v>7.134999999999998</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753D5-C4EF-F546-9C4D-D74EE2844ED3}">
  <dimension ref="A1:H6"/>
  <sheetViews>
    <sheetView workbookViewId="0">
      <selection activeCell="E6" sqref="E6"/>
    </sheetView>
  </sheetViews>
  <sheetFormatPr baseColWidth="10" defaultRowHeight="16" x14ac:dyDescent="0.2"/>
  <cols>
    <col min="1" max="1" width="18" customWidth="1"/>
    <col min="2" max="2" width="17.6640625" customWidth="1"/>
    <col min="3" max="3" width="15.5" customWidth="1"/>
    <col min="4" max="4" width="18.1640625" customWidth="1"/>
    <col min="5" max="5" width="16" customWidth="1"/>
    <col min="6" max="6" width="17" customWidth="1"/>
    <col min="7" max="7" width="19.33203125" bestFit="1" customWidth="1"/>
    <col min="8" max="8" width="19.1640625" bestFit="1" customWidth="1"/>
  </cols>
  <sheetData>
    <row r="1" spans="1:8" x14ac:dyDescent="0.2">
      <c r="A1" t="s">
        <v>901</v>
      </c>
      <c r="B1" t="s">
        <v>546</v>
      </c>
      <c r="C1" t="s">
        <v>554</v>
      </c>
      <c r="D1" t="s">
        <v>892</v>
      </c>
      <c r="E1" t="s">
        <v>533</v>
      </c>
      <c r="F1" t="s">
        <v>893</v>
      </c>
      <c r="G1" t="s">
        <v>929</v>
      </c>
      <c r="H1" t="s">
        <v>933</v>
      </c>
    </row>
    <row r="2" spans="1:8" x14ac:dyDescent="0.2">
      <c r="A2">
        <v>2025</v>
      </c>
      <c r="B2" s="27">
        <f>Table2[[#This Row],[Operating Margin]]</f>
        <v>7.9941264117126265E-2</v>
      </c>
      <c r="C2" s="3">
        <f>Table1[[#This Row],[Debt-to-Equity]]</f>
        <v>1.7684098993415576</v>
      </c>
      <c r="D2" s="3">
        <f>Table3[[#This Row],[Cash flow Quality]]</f>
        <v>1.1488039763901834</v>
      </c>
      <c r="E2">
        <f>Table3[[#This Row],[Free Cash Flow]]</f>
        <v>3.2679999999999998</v>
      </c>
      <c r="F2" s="32">
        <f>Table2[[#This Row],[ROE]]</f>
        <v>0.23289802119885683</v>
      </c>
      <c r="G2" s="14">
        <f>Table5[[#This Row],[Net Income]]/Table5[[#This Row],[Revenue]]</f>
        <v>6.9511326092120324E-2</v>
      </c>
      <c r="H2" s="14">
        <f>Table2[[#This Row],[ Operating Expenses ]]/Table2[[#This Row],[Revenue]]</f>
        <v>0.34740547193850013</v>
      </c>
    </row>
    <row r="3" spans="1:8" x14ac:dyDescent="0.2">
      <c r="A3">
        <v>2024</v>
      </c>
      <c r="B3" s="27">
        <f>Table2[[#This Row],[Operating Margin]]</f>
        <v>0.12287294108484871</v>
      </c>
      <c r="C3" s="3">
        <f>Table1[[#This Row],[Debt-to-Equity]]</f>
        <v>1.641025641025641</v>
      </c>
      <c r="D3" s="3">
        <f>Table3[[#This Row],[Cash flow Quality]]</f>
        <v>1.3033333333333332</v>
      </c>
      <c r="E3">
        <f>Table3[[#This Row],[Free Cash Flow]]</f>
        <v>6.617</v>
      </c>
      <c r="F3" s="32">
        <f>Table2[[#This Row],[ROE]]</f>
        <v>0.40092846592108045</v>
      </c>
      <c r="G3" s="14">
        <f>Table5[[#This Row],[Net Income]]/Table5[[#This Row],[Revenue]]</f>
        <v>0.11097698687745804</v>
      </c>
      <c r="H3" s="14">
        <f>Table2[[#This Row],[ Operating Expenses ]]/Table2[[#This Row],[Revenue]]</f>
        <v>0.32272886569837622</v>
      </c>
    </row>
    <row r="4" spans="1:8" x14ac:dyDescent="0.2">
      <c r="A4">
        <v>2023</v>
      </c>
      <c r="B4" s="27">
        <f>Table2[[#This Row],[Operating Margin]]</f>
        <v>0.11548899779370131</v>
      </c>
      <c r="C4" s="3">
        <f>Table1[[#This Row],[Debt-to-Equity]]</f>
        <v>1.6800199942873466</v>
      </c>
      <c r="D4" s="3">
        <f>Table3[[#This Row],[Cash flow Quality]]</f>
        <v>1.1520710059171597</v>
      </c>
      <c r="E4">
        <f>Table3[[#This Row],[Free Cash Flow]]</f>
        <v>4.8719999999999999</v>
      </c>
      <c r="F4" s="32">
        <f>Table2[[#This Row],[ROE]]</f>
        <v>0.34625234761823459</v>
      </c>
      <c r="G4" s="14">
        <f>Table5[[#This Row],[Net Income]]/Table5[[#This Row],[Revenue]]</f>
        <v>9.8990569537458273E-2</v>
      </c>
      <c r="H4" s="14">
        <f>Table2[[#This Row],[ Operating Expenses ]]/Table2[[#This Row],[Revenue]]</f>
        <v>0.31975711189644063</v>
      </c>
    </row>
    <row r="5" spans="1:8" x14ac:dyDescent="0.2">
      <c r="A5">
        <v>2022</v>
      </c>
      <c r="B5" s="27">
        <f>Table2[[#This Row],[Operating Margin]]</f>
        <v>0.14290301862556198</v>
      </c>
      <c r="C5" s="3">
        <f>Table1[[#This Row],[Debt-to-Equity]]</f>
        <v>1.6386362149074012</v>
      </c>
      <c r="D5" s="3">
        <f>Table3[[#This Row],[Cash flow Quality]]</f>
        <v>0.85808799206086661</v>
      </c>
      <c r="E5">
        <f>Table3[[#This Row],[Free Cash Flow]]</f>
        <v>4.43</v>
      </c>
      <c r="F5" s="32">
        <f>Table2[[#This Row],[ROE]]</f>
        <v>0.43111808328579576</v>
      </c>
      <c r="G5" s="14">
        <f>Table5[[#This Row],[Net Income]]/Table5[[#This Row],[Revenue]]</f>
        <v>0.12943695140226932</v>
      </c>
      <c r="H5" s="14">
        <f>Table2[[#This Row],[ Operating Expenses ]]/Table2[[#This Row],[Revenue]]</f>
        <v>0.31693427531577822</v>
      </c>
    </row>
    <row r="6" spans="1:8" x14ac:dyDescent="0.2">
      <c r="A6">
        <v>2021</v>
      </c>
      <c r="B6" s="27">
        <f>Table2[[#This Row],[Operating Margin]]</f>
        <v>0.15575463649018817</v>
      </c>
      <c r="C6" s="3">
        <f>Table1[[#This Row],[Debt-to-Equity]]</f>
        <v>1.9560585885486019</v>
      </c>
      <c r="D6" s="3">
        <f>Table3[[#This Row],[Cash flow Quality]]</f>
        <v>1.1623886851754845</v>
      </c>
      <c r="E6">
        <f>Table3[[#This Row],[Free Cash Flow]]</f>
        <v>5.9619999999999997</v>
      </c>
      <c r="F6" s="32">
        <f>Table2[[#This Row],[ROE]]</f>
        <v>0.55009124963980416</v>
      </c>
      <c r="G6" s="14">
        <f>Table5[[#This Row],[Net Income]]/Table5[[#This Row],[Revenue]]</f>
        <v>0.1285868247339351</v>
      </c>
      <c r="H6" s="14">
        <f>Table2[[#This Row],[ Operating Expenses ]]/Table2[[#This Row],[Revenue]]</f>
        <v>0.29244689927702189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Dashboard</vt:lpstr>
      <vt:lpstr>NKE INCOME STATEMENT ANNUAL RAW</vt:lpstr>
      <vt:lpstr>NKE BALANCE SHEET ANNUAL RAW</vt:lpstr>
      <vt:lpstr>NKE CASHFLOW STATEMENTS ANNUAL</vt:lpstr>
      <vt:lpstr>NKE DIVIDENDS</vt:lpstr>
      <vt:lpstr>Insights Pivot</vt:lpstr>
      <vt:lpstr>IS ANALYSIS</vt:lpstr>
      <vt:lpstr>VARIANCE ANALYSIS</vt:lpstr>
      <vt:lpstr>WATERFALL Analysis</vt:lpstr>
      <vt:lpstr>KPIs</vt:lpstr>
      <vt:lpstr>BS ANALYSIS</vt:lpstr>
      <vt:lpstr>CF ANALYSIS</vt:lpstr>
      <vt:lpstr>Forecast Analysis</vt:lpstr>
      <vt:lpstr>DIVIDENDS ANALYSIS</vt:lpstr>
      <vt:lpstr>waterfall helper</vt:lpstr>
      <vt:lpstr>Forecast Pivot</vt:lpstr>
      <vt:lpstr>Waterfall Pivot</vt:lpstr>
      <vt:lpstr>Benchmark Pivots</vt:lpstr>
      <vt:lpstr>Benchmarks</vt:lpstr>
      <vt:lpstr>ADDYY</vt:lpstr>
      <vt:lpstr>Anta</vt:lpstr>
      <vt:lpstr>Lulu</vt:lpstr>
      <vt:lpstr>Benchmarks analysis</vt:lpstr>
      <vt:lpstr>Variance long</vt:lpstr>
      <vt:lpstr>REC COMMENTS RAW</vt:lpstr>
      <vt:lpstr>Ratio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UPHILE KHOLWA GAMA</dc:creator>
  <cp:lastModifiedBy>UPHILE KHOLWA GAMA</cp:lastModifiedBy>
  <dcterms:created xsi:type="dcterms:W3CDTF">2026-01-27T14:23:38Z</dcterms:created>
  <dcterms:modified xsi:type="dcterms:W3CDTF">2026-02-02T21:08:13Z</dcterms:modified>
</cp:coreProperties>
</file>